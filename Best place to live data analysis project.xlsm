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trlProps/ctrlProp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11.xml" ContentType="application/vnd.ms-excel.controlproperties+xml"/>
  <Override PartName="/xl/tables/table6.xml" ContentType="application/vnd.openxmlformats-officedocument.spreadsheetml.table+xml"/>
  <Override PartName="/xl/drawings/drawing6.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drawings/drawing7.xml" ContentType="application/vnd.openxmlformats-officedocument.drawing+xml"/>
  <Override PartName="/xl/ctrlProps/ctrlProp13.xml" ContentType="application/vnd.ms-excel.controlproperties+xml"/>
  <Override PartName="/xl/tables/table8.xml" ContentType="application/vnd.openxmlformats-officedocument.spreadsheetml.table+xml"/>
  <Override PartName="/xl/drawings/drawing8.xml" ContentType="application/vnd.openxmlformats-officedocument.drawing+xml"/>
  <Override PartName="/xl/ctrlProps/ctrlProp14.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pivotTables/pivotTable6.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mc:AlternateContent xmlns:mc="http://schemas.openxmlformats.org/markup-compatibility/2006">
    <mc:Choice Requires="x15">
      <x15ac:absPath xmlns:x15ac="http://schemas.microsoft.com/office/spreadsheetml/2010/11/ac" url="https://umass-my.sharepoint.com/personal/dvle_umass_edu/Documents/Final Project/"/>
    </mc:Choice>
  </mc:AlternateContent>
  <xr:revisionPtr revIDLastSave="67" documentId="13_ncr:1_{067B4617-8A7D-4E1E-91CE-94A32739C775}" xr6:coauthVersionLast="47" xr6:coauthVersionMax="47" xr10:uidLastSave="{BC3F66B4-BF52-4C2D-B30B-ED81B1277F1D}"/>
  <workbookProtection lockStructure="1"/>
  <bookViews>
    <workbookView xWindow="-98" yWindow="-98" windowWidth="21795" windowHeight="10575" xr2:uid="{00000000-000D-0000-FFFF-FFFF00000000}"/>
  </bookViews>
  <sheets>
    <sheet name="Dashboard" sheetId="1" r:id="rId1"/>
    <sheet name="Master Data Sheet" sheetId="2" r:id="rId2"/>
    <sheet name="Healthcare rank" sheetId="3" r:id="rId3"/>
    <sheet name="Safety Ranking" sheetId="4" r:id="rId4"/>
    <sheet name="Average housing" sheetId="5" r:id="rId5"/>
    <sheet name="Crime Rate" sheetId="6" r:id="rId6"/>
    <sheet name="cost-of-living-index-by-state-2" sheetId="7" r:id="rId7"/>
    <sheet name="Education" sheetId="8" r:id="rId8"/>
    <sheet name="Weather Statistics" sheetId="9" state="hidden" r:id="rId9"/>
    <sheet name="Crime Rate Vs Safety Index" sheetId="10" state="hidden" r:id="rId10"/>
    <sheet name="Education Chart" sheetId="11" state="hidden" r:id="rId11"/>
  </sheets>
  <definedNames>
    <definedName name="_xlnm._FilterDatabase" localSheetId="4" hidden="1">'Average housing'!$A$1:$J$52</definedName>
    <definedName name="_xlchart.v5.0" hidden="1">'Weather Statistics'!$B$1</definedName>
    <definedName name="_xlchart.v5.1" hidden="1">'Weather Statistics'!$B$2:$B$15</definedName>
    <definedName name="_xlchart.v5.2" hidden="1">'Weather Statistics'!$C$1</definedName>
    <definedName name="_xlchart.v5.3" hidden="1">'Weather Statistics'!$C$2:$C$15</definedName>
    <definedName name="Slicer_Region2">#N/A</definedName>
    <definedName name="Slicer_State">#N/A</definedName>
  </definedNames>
  <calcPr calcId="191028"/>
  <pivotCaches>
    <pivotCache cacheId="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7" i="2" l="1" a="1"/>
  <c r="L27" i="2" s="1"/>
  <c r="L26" i="2" a="1"/>
  <c r="L26" i="2" s="1"/>
  <c r="L25" i="2"/>
  <c r="L24" i="2"/>
  <c r="L23" i="2"/>
  <c r="L22" i="2"/>
  <c r="L21" i="2"/>
  <c r="L20" i="2"/>
  <c r="F4" i="2"/>
  <c r="F5" i="2"/>
  <c r="F6" i="2"/>
  <c r="F7" i="2"/>
  <c r="F8" i="2"/>
  <c r="F9" i="2"/>
  <c r="F10" i="2"/>
  <c r="F11" i="2"/>
  <c r="F12" i="2"/>
  <c r="F13" i="2"/>
  <c r="F14" i="2"/>
  <c r="F15" i="2"/>
  <c r="F16" i="2"/>
  <c r="F3" i="2"/>
  <c r="L4" i="2"/>
  <c r="L5" i="2"/>
  <c r="L6" i="2"/>
  <c r="L7" i="2"/>
  <c r="L8" i="2"/>
  <c r="L9" i="2"/>
  <c r="L10" i="2"/>
  <c r="L11" i="2"/>
  <c r="L12" i="2"/>
  <c r="L13" i="2"/>
  <c r="L14" i="2"/>
  <c r="L15" i="2"/>
  <c r="L16" i="2"/>
  <c r="L3" i="2"/>
  <c r="J4" i="2"/>
  <c r="J5" i="2"/>
  <c r="J6" i="2"/>
  <c r="J7" i="2"/>
  <c r="J8" i="2"/>
  <c r="J9" i="2"/>
  <c r="J10" i="2"/>
  <c r="J11" i="2"/>
  <c r="J12" i="2"/>
  <c r="J13" i="2"/>
  <c r="J14" i="2"/>
  <c r="J15" i="2"/>
  <c r="J16" i="2"/>
  <c r="J3" i="2"/>
  <c r="I4" i="2"/>
  <c r="I5" i="2"/>
  <c r="I6" i="2"/>
  <c r="I7" i="2"/>
  <c r="I8" i="2"/>
  <c r="I9" i="2"/>
  <c r="I10" i="2"/>
  <c r="I11" i="2"/>
  <c r="I12" i="2"/>
  <c r="I13" i="2"/>
  <c r="I14" i="2"/>
  <c r="I15" i="2"/>
  <c r="I16" i="2"/>
  <c r="I3" i="2"/>
  <c r="E4" i="2"/>
  <c r="E5" i="2"/>
  <c r="E6" i="2"/>
  <c r="E7" i="2"/>
  <c r="E8" i="2"/>
  <c r="E9" i="2"/>
  <c r="E10" i="2"/>
  <c r="E11" i="2"/>
  <c r="E12" i="2"/>
  <c r="E13" i="2"/>
  <c r="E14" i="2"/>
  <c r="E15" i="2"/>
  <c r="E16" i="2"/>
  <c r="E3" i="2"/>
  <c r="K16" i="2"/>
  <c r="H16" i="2"/>
  <c r="G16" i="2"/>
  <c r="D16" i="2"/>
  <c r="K15" i="2"/>
  <c r="H15" i="2"/>
  <c r="G15" i="2"/>
  <c r="D15" i="2"/>
  <c r="K14" i="2"/>
  <c r="H14" i="2"/>
  <c r="G14" i="2"/>
  <c r="D14" i="2"/>
  <c r="K13" i="2"/>
  <c r="H13" i="2"/>
  <c r="G13" i="2"/>
  <c r="D13" i="2"/>
  <c r="K12" i="2"/>
  <c r="H12" i="2"/>
  <c r="G12" i="2"/>
  <c r="D12" i="2"/>
  <c r="K11" i="2"/>
  <c r="H11" i="2"/>
  <c r="G11" i="2"/>
  <c r="D11" i="2"/>
  <c r="K10" i="2"/>
  <c r="H10" i="2"/>
  <c r="G10" i="2"/>
  <c r="D10" i="2"/>
  <c r="K9" i="2"/>
  <c r="H9" i="2"/>
  <c r="G9" i="2"/>
  <c r="D9" i="2"/>
  <c r="K8" i="2"/>
  <c r="H8" i="2"/>
  <c r="G8" i="2"/>
  <c r="D8" i="2"/>
  <c r="K7" i="2"/>
  <c r="H7" i="2"/>
  <c r="G7" i="2"/>
  <c r="D7" i="2"/>
  <c r="K6" i="2"/>
  <c r="H6" i="2"/>
  <c r="G6" i="2"/>
  <c r="D6" i="2"/>
  <c r="K5" i="2"/>
  <c r="H5" i="2"/>
  <c r="G5" i="2"/>
  <c r="D5" i="2"/>
  <c r="K4" i="2"/>
  <c r="H4" i="2"/>
  <c r="G4" i="2"/>
  <c r="D4" i="2"/>
  <c r="K3" i="2"/>
  <c r="H3" i="2"/>
  <c r="G3" i="2"/>
  <c r="D3" i="2"/>
  <c r="M4" i="2" l="1"/>
  <c r="M16" i="2"/>
  <c r="M3" i="2"/>
  <c r="M15" i="2"/>
  <c r="M11" i="2"/>
  <c r="M7" i="2"/>
  <c r="M14" i="2"/>
  <c r="M10" i="2"/>
  <c r="M6" i="2"/>
  <c r="M13" i="2"/>
  <c r="M9" i="2"/>
  <c r="M5" i="2"/>
  <c r="M12" i="2"/>
  <c r="M8" i="2"/>
  <c r="G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tc={BA5DA2B9-CCC5-4858-BD0B-3743C28ECC2D}</author>
  </authors>
  <commentList>
    <comment ref="C7" authorId="0" shapeId="0" xr:uid="{BA5DA2B9-CCC5-4858-BD0B-3743C28ECC2D}">
      <text>
        <t>[Threaded comment]
Your version of Excel allows you to read this threaded comment; however, any edits to it will get removed if the file is opened in a newer version of Excel. Learn more: https://go.microsoft.com/fwlink/?linkid=870924
Comment:
    While South Carolina shows the highest crime rate in this group, it doesn't mean it's the most dangerous. Overall it still ranks as relatively safe state compared to the national average.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<sst xmlns="http://schemas.openxmlformats.org/spreadsheetml/2006/main" count="687" uniqueCount="193">
  <si>
    <t>Best Place To Live</t>
  </si>
  <si>
    <t>Safety Index</t>
  </si>
  <si>
    <t>Health Score</t>
  </si>
  <si>
    <t>Average Rent</t>
  </si>
  <si>
    <t>Education Index</t>
  </si>
  <si>
    <t>Avg Annual Temp</t>
  </si>
  <si>
    <t>Cost of living</t>
  </si>
  <si>
    <t>Crime Rate</t>
  </si>
  <si>
    <t>Sunny Days</t>
  </si>
  <si>
    <t>State</t>
  </si>
  <si>
    <t xml:space="preserve">Healthcare score </t>
  </si>
  <si>
    <t>Rhode Island</t>
  </si>
  <si>
    <t>New Hampshire</t>
  </si>
  <si>
    <t>Massachusetts</t>
  </si>
  <si>
    <t>Maine</t>
  </si>
  <si>
    <t>Maryland</t>
  </si>
  <si>
    <t>Virginia</t>
  </si>
  <si>
    <t>Connecticut</t>
  </si>
  <si>
    <t>New Jersey</t>
  </si>
  <si>
    <t>Delaware</t>
  </si>
  <si>
    <t>South Carolina</t>
  </si>
  <si>
    <t>New York</t>
  </si>
  <si>
    <t>North Carolina</t>
  </si>
  <si>
    <t>Florida</t>
  </si>
  <si>
    <t>Georgia</t>
  </si>
  <si>
    <t>States</t>
  </si>
  <si>
    <t xml:space="preserve"> Avg Clear/Sunny Day (Annually)</t>
  </si>
  <si>
    <t xml:space="preserve"> Avg Annual Temp. </t>
  </si>
  <si>
    <t>Column 1</t>
  </si>
  <si>
    <t>Region</t>
  </si>
  <si>
    <t>Healthcare score</t>
  </si>
  <si>
    <t>Average Housing Rent (Monthly)</t>
  </si>
  <si>
    <t>Crime Rate (per 100,000)</t>
  </si>
  <si>
    <t>Education Score</t>
  </si>
  <si>
    <t xml:space="preserve">Avg Annual Temp. </t>
  </si>
  <si>
    <t>Avg Clear/Sunny Day (Annually)</t>
  </si>
  <si>
    <t>Cost of Living</t>
  </si>
  <si>
    <t>Housing index</t>
  </si>
  <si>
    <t>Total score</t>
  </si>
  <si>
    <t>Northeast</t>
  </si>
  <si>
    <t>Southeast</t>
  </si>
  <si>
    <t>State Education Scores</t>
  </si>
  <si>
    <t>Housing and Cost of Living Index by State</t>
  </si>
  <si>
    <t>Average Monthly Housing Rent by State</t>
  </si>
  <si>
    <t>Factors Contributing to Quality of Life Index</t>
  </si>
  <si>
    <t xml:space="preserve">Education Score </t>
  </si>
  <si>
    <t xml:space="preserve">Housing index </t>
  </si>
  <si>
    <t xml:space="preserve">Cost of Living </t>
  </si>
  <si>
    <t xml:space="preserve">Average Housing Rent (Monthly) </t>
  </si>
  <si>
    <t>Factors</t>
  </si>
  <si>
    <t>Proportion</t>
  </si>
  <si>
    <t>Overall Rank</t>
  </si>
  <si>
    <t>Total Score</t>
  </si>
  <si>
    <t>Cost Rank</t>
  </si>
  <si>
    <t>Access Rank</t>
  </si>
  <si>
    <t>Outcomes Rank</t>
  </si>
  <si>
    <t>1</t>
  </si>
  <si>
    <t>Minnesota</t>
  </si>
  <si>
    <t>2</t>
  </si>
  <si>
    <t>3</t>
  </si>
  <si>
    <t>South Dakota</t>
  </si>
  <si>
    <t>4</t>
  </si>
  <si>
    <t>Iowa</t>
  </si>
  <si>
    <t>5</t>
  </si>
  <si>
    <t>6</t>
  </si>
  <si>
    <t>7</t>
  </si>
  <si>
    <t>Utah</t>
  </si>
  <si>
    <t>8</t>
  </si>
  <si>
    <t>Vermont</t>
  </si>
  <si>
    <t>9</t>
  </si>
  <si>
    <t>10</t>
  </si>
  <si>
    <t>Colorado</t>
  </si>
  <si>
    <t>11</t>
  </si>
  <si>
    <t>North Dakota</t>
  </si>
  <si>
    <t>12</t>
  </si>
  <si>
    <t>Hawaii</t>
  </si>
  <si>
    <t>13</t>
  </si>
  <si>
    <t>Pennsylvania</t>
  </si>
  <si>
    <t>14</t>
  </si>
  <si>
    <t>Michigan</t>
  </si>
  <si>
    <t>15</t>
  </si>
  <si>
    <t>Kansas</t>
  </si>
  <si>
    <t>16</t>
  </si>
  <si>
    <t>Wisconsin</t>
  </si>
  <si>
    <t>17</t>
  </si>
  <si>
    <t>18</t>
  </si>
  <si>
    <t>Montana</t>
  </si>
  <si>
    <t>19</t>
  </si>
  <si>
    <t>Nebraska</t>
  </si>
  <si>
    <t>20</t>
  </si>
  <si>
    <t>Missouri</t>
  </si>
  <si>
    <t>21</t>
  </si>
  <si>
    <t>22</t>
  </si>
  <si>
    <t>Indiana</t>
  </si>
  <si>
    <t>23</t>
  </si>
  <si>
    <t>Idaho</t>
  </si>
  <si>
    <t>24</t>
  </si>
  <si>
    <t>25</t>
  </si>
  <si>
    <t>26</t>
  </si>
  <si>
    <t>Ohio</t>
  </si>
  <si>
    <t>27</t>
  </si>
  <si>
    <t>Oregon</t>
  </si>
  <si>
    <t>28</t>
  </si>
  <si>
    <t>Illinois</t>
  </si>
  <si>
    <t>29</t>
  </si>
  <si>
    <t>Kentucky</t>
  </si>
  <si>
    <t>30</t>
  </si>
  <si>
    <t>Washington</t>
  </si>
  <si>
    <t>31</t>
  </si>
  <si>
    <t>32</t>
  </si>
  <si>
    <t>California</t>
  </si>
  <si>
    <t>33</t>
  </si>
  <si>
    <t>Nevada</t>
  </si>
  <si>
    <t>34</t>
  </si>
  <si>
    <t>Arizona</t>
  </si>
  <si>
    <t>35</t>
  </si>
  <si>
    <t>36</t>
  </si>
  <si>
    <t>New Mexico</t>
  </si>
  <si>
    <t>37</t>
  </si>
  <si>
    <t>Wyoming</t>
  </si>
  <si>
    <t>38</t>
  </si>
  <si>
    <t>39</t>
  </si>
  <si>
    <t>District of Columbia</t>
  </si>
  <si>
    <t>40</t>
  </si>
  <si>
    <t>Tennessee</t>
  </si>
  <si>
    <t>41</t>
  </si>
  <si>
    <t>42</t>
  </si>
  <si>
    <t>43</t>
  </si>
  <si>
    <t>Louisiana</t>
  </si>
  <si>
    <t>44</t>
  </si>
  <si>
    <t>Arkansas</t>
  </si>
  <si>
    <t>45</t>
  </si>
  <si>
    <t>Texas</t>
  </si>
  <si>
    <t>46</t>
  </si>
  <si>
    <t>Alaska</t>
  </si>
  <si>
    <t>47</t>
  </si>
  <si>
    <t>Oklahoma</t>
  </si>
  <si>
    <t>48</t>
  </si>
  <si>
    <t>49</t>
  </si>
  <si>
    <t>West Virginia</t>
  </si>
  <si>
    <t>50</t>
  </si>
  <si>
    <t>Alabama</t>
  </si>
  <si>
    <t>Mississippi</t>
  </si>
  <si>
    <t>Overall Rank*</t>
  </si>
  <si>
    <t>Personal &amp; Residential Safety Rank</t>
  </si>
  <si>
    <t>Financial Safety Rank</t>
  </si>
  <si>
    <t>Road Safety Rank</t>
  </si>
  <si>
    <t>Workplace Safety Rank</t>
  </si>
  <si>
    <t>Emergency Preparedness Rank</t>
  </si>
  <si>
    <t>STATE</t>
  </si>
  <si>
    <t>AVERAGE RENT 2025</t>
  </si>
  <si>
    <t>AVG. APARTMENT SIZE 2025</t>
  </si>
  <si>
    <t>COST OF LIVING INDEX(TOTAL)</t>
  </si>
  <si>
    <t>COST OF LIVING INDEX(HOUSING)</t>
  </si>
  <si>
    <t>AVG. RENT 0 BDRMS</t>
  </si>
  <si>
    <t>AVG. RENT 1 BDRMS</t>
  </si>
  <si>
    <t>AVG. RENT 2 BDRMS</t>
  </si>
  <si>
    <t>AVG. RENT 3 BDRMS</t>
  </si>
  <si>
    <t>AVG. RENT 4 BDRMS</t>
  </si>
  <si>
    <t>Row Labels</t>
  </si>
  <si>
    <t xml:space="preserve">Housing Index </t>
  </si>
  <si>
    <t>Cost of Living Index</t>
  </si>
  <si>
    <t>Sum of AVERAGE RENT 2025</t>
  </si>
  <si>
    <t>TOTAL CRIMES 2023</t>
  </si>
  <si>
    <t>TOTAL CRIMES PER 100K POPULATION 2023</t>
  </si>
  <si>
    <t>VIOLENT CRIMES 2023</t>
  </si>
  <si>
    <t>VIOLENT CRIMES PER 100K 2023</t>
  </si>
  <si>
    <t>HOMICIDE COUNT</t>
  </si>
  <si>
    <t>RAPE COUNT</t>
  </si>
  <si>
    <t>ROBBERY COUNT</t>
  </si>
  <si>
    <t>AGGRAVATED ASSAULT</t>
  </si>
  <si>
    <t>TOTAL NON VIOLENT CRIMES</t>
  </si>
  <si>
    <t>TOTAL NON VIOLENT CRIMES PER 100K</t>
  </si>
  <si>
    <t>BURGLARY COUNT</t>
  </si>
  <si>
    <t>LARCENY COUNT</t>
  </si>
  <si>
    <t>VEHICLE THEFT COUNT</t>
  </si>
  <si>
    <t>CostOfLivingIndex</t>
  </si>
  <si>
    <t>GroceriesCostsIndex</t>
  </si>
  <si>
    <t>HousingCostsIndex</t>
  </si>
  <si>
    <t>UtilitiesCostsIndex</t>
  </si>
  <si>
    <t>TransportationCostsIndex</t>
  </si>
  <si>
    <t>HealthCostsIndex</t>
  </si>
  <si>
    <t>MiscCostsIndex</t>
  </si>
  <si>
    <t>Quality Rank</t>
  </si>
  <si>
    <t>Safety Rank</t>
  </si>
  <si>
    <t>S. No.</t>
  </si>
  <si>
    <t>Avg Annual Temp (°F)</t>
  </si>
  <si>
    <t>Avg Clear/Sunny Days (Annually)</t>
  </si>
  <si>
    <t xml:space="preserve">Avg Clear/Sunny Days (Annually) </t>
  </si>
  <si>
    <t xml:space="preserve">Avg Annual Temp (°F) </t>
  </si>
  <si>
    <t xml:space="preserve">Safety Index </t>
  </si>
  <si>
    <t xml:space="preserve">Crime Rate   </t>
  </si>
  <si>
    <t>Edu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</si>
</sst>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35">
    <font>
      <sz val="10"/>
      <color rgb="FF000000"/>
      <name val="Arial"/>
      <scheme val="minor"/>
    </font>
    <font>
      <sz val="11"/>
      <color theme="1"/>
      <name val="Arial"/>
      <family val="2"/>
      <scheme val="minor"/>
    </font>
    <font>
      <sz val="10"/>
      <color theme="1"/>
      <name val="Arial"/>
      <family val="2"/>
      <scheme val="minor"/>
    </font>
    <font>
      <b/>
      <sz val="10"/>
      <color theme="1"/>
      <name val="Arial"/>
      <family val="2"/>
      <scheme val="minor"/>
    </font>
    <font>
      <sz val="11"/>
      <color rgb="FF000000"/>
      <name val="&quot;Aptos Narrow&quot;"/>
    </font>
    <font>
      <sz val="11"/>
      <color rgb="FF475467"/>
      <name val="Arial"/>
      <family val="2"/>
    </font>
    <font>
      <sz val="11"/>
      <color rgb="FF000000"/>
      <name val="Arial"/>
      <family val="2"/>
    </font>
    <font>
      <sz val="10"/>
      <color rgb="FF000000"/>
      <name val="Arial"/>
      <family val="2"/>
      <scheme val="minor"/>
    </font>
    <font>
      <sz val="10"/>
      <color theme="0"/>
      <name val="Arial"/>
      <family val="2"/>
      <scheme val="minor"/>
    </font>
    <font>
      <b/>
      <sz val="10"/>
      <color theme="0"/>
      <name val="Arial"/>
      <family val="2"/>
      <scheme val="minor"/>
    </font>
    <font>
      <b/>
      <sz val="13"/>
      <color theme="3"/>
      <name val="Arial"/>
      <family val="2"/>
      <scheme val="minor"/>
    </font>
    <font>
      <b/>
      <sz val="26"/>
      <color rgb="FF000000"/>
      <name val="Arial"/>
      <family val="2"/>
      <scheme val="minor"/>
    </font>
    <font>
      <sz val="26"/>
      <color rgb="FF000000"/>
      <name val="Arial"/>
      <family val="2"/>
      <scheme val="minor"/>
    </font>
    <font>
      <sz val="10"/>
      <color theme="4" tint="0.59999389629810485"/>
      <name val="Arial"/>
      <family val="2"/>
      <scheme val="minor"/>
    </font>
    <font>
      <b/>
      <sz val="26"/>
      <color theme="2"/>
      <name val="Arial"/>
      <family val="2"/>
      <scheme val="minor"/>
    </font>
    <font>
      <b/>
      <sz val="11"/>
      <color theme="0"/>
      <name val="Arial"/>
      <family val="2"/>
      <scheme val="minor"/>
    </font>
    <font>
      <b/>
      <sz val="11"/>
      <color theme="1"/>
      <name val="Arial"/>
      <family val="2"/>
      <scheme val="minor"/>
    </font>
    <font>
      <sz val="11"/>
      <color theme="0"/>
      <name val="Arial"/>
      <family val="2"/>
      <scheme val="minor"/>
    </font>
    <font>
      <b/>
      <sz val="10"/>
      <color rgb="FF000000"/>
      <name val="Arial"/>
      <family val="2"/>
      <scheme val="minor"/>
    </font>
    <font>
      <b/>
      <sz val="11"/>
      <color rgb="FF000000"/>
      <name val="Arial"/>
      <family val="2"/>
    </font>
    <font>
      <sz val="11"/>
      <color rgb="FF000000"/>
      <name val="Arial"/>
      <family val="2"/>
      <scheme val="minor"/>
    </font>
    <font>
      <b/>
      <sz val="10"/>
      <name val="Arial"/>
      <family val="2"/>
      <scheme val="minor"/>
    </font>
    <font>
      <b/>
      <sz val="26"/>
      <color theme="0"/>
      <name val="Arial"/>
      <family val="2"/>
      <scheme val="minor"/>
    </font>
    <font>
      <b/>
      <sz val="26"/>
      <color theme="1" tint="0.14999847407452621"/>
      <name val="Arial"/>
      <family val="2"/>
      <scheme val="minor"/>
    </font>
    <font>
      <b/>
      <sz val="26"/>
      <color theme="3"/>
      <name val="Arial"/>
      <family val="2"/>
      <scheme val="minor"/>
    </font>
    <font>
      <b/>
      <sz val="26"/>
      <color theme="7" tint="-0.499984740745262"/>
      <name val="Arial"/>
      <family val="2"/>
      <scheme val="minor"/>
    </font>
    <font>
      <b/>
      <sz val="28"/>
      <color rgb="FFFF6600"/>
      <name val="Arial"/>
      <family val="2"/>
    </font>
    <font>
      <b/>
      <sz val="30"/>
      <color rgb="FF660066"/>
      <name val="Arial"/>
      <family val="2"/>
    </font>
    <font>
      <b/>
      <sz val="30"/>
      <color rgb="FF800000"/>
      <name val="Arial"/>
      <family val="2"/>
    </font>
    <font>
      <b/>
      <sz val="30"/>
      <color rgb="FF333333"/>
      <name val="Arial"/>
      <family val="2"/>
    </font>
    <font>
      <b/>
      <sz val="30"/>
      <color rgb="FF008000"/>
      <name val="Arial"/>
      <family val="2"/>
    </font>
    <font>
      <b/>
      <sz val="30"/>
      <color rgb="FF0000FF"/>
      <name val="Arial"/>
      <family val="2"/>
    </font>
    <font>
      <b/>
      <sz val="18"/>
      <color rgb="FFFF0000"/>
      <name val="Arial"/>
      <family val="2"/>
    </font>
    <font>
      <b/>
      <sz val="33"/>
      <color theme="0"/>
      <name val="Bodoni MT Black"/>
      <family val="1"/>
    </font>
    <font>
      <b/>
      <sz val="36"/>
      <color rgb="FF0000FF"/>
      <name val="Arial"/>
      <family val="2"/>
    </font>
  </fonts>
  <fills count="12">
    <fill>
      <patternFill patternType="none"/>
    </fill>
    <fill>
      <patternFill patternType="gray125"/>
    </fill>
    <fill>
      <patternFill patternType="solid">
        <fgColor rgb="FFFFFFFF"/>
        <bgColor rgb="FFFFFFFF"/>
      </patternFill>
    </fill>
    <fill>
      <patternFill patternType="solid">
        <fgColor rgb="FFFEFEFE"/>
        <bgColor rgb="FFFEFEFE"/>
      </patternFill>
    </fill>
    <fill>
      <patternFill patternType="solid">
        <fgColor rgb="FF356854"/>
        <bgColor rgb="FF356854"/>
      </patternFill>
    </fill>
    <fill>
      <patternFill patternType="solid">
        <fgColor rgb="FFF6F8F9"/>
        <bgColor rgb="FFF6F8F9"/>
      </patternFill>
    </fill>
    <fill>
      <patternFill patternType="solid">
        <fgColor theme="9" tint="0.39997558519241921"/>
        <bgColor rgb="FF35685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39997558519241921"/>
        <bgColor indexed="64"/>
      </patternFill>
    </fill>
  </fills>
  <borders count="43">
    <border>
      <left/>
      <right/>
      <top/>
      <bottom/>
      <diagonal/>
    </border>
    <border>
      <left style="thin">
        <color rgb="FF284E3F"/>
      </left>
      <right style="thin">
        <color rgb="FF356854"/>
      </right>
      <top style="thin">
        <color rgb="FF284E3F"/>
      </top>
      <bottom style="thin">
        <color rgb="FF284E3F"/>
      </bottom>
      <diagonal/>
    </border>
    <border>
      <left style="thin">
        <color rgb="FF356854"/>
      </left>
      <right style="thin">
        <color rgb="FF356854"/>
      </right>
      <top style="thin">
        <color rgb="FF284E3F"/>
      </top>
      <bottom style="thin">
        <color rgb="FF284E3F"/>
      </bottom>
      <diagonal/>
    </border>
    <border>
      <left style="thin">
        <color rgb="FF356854"/>
      </left>
      <right style="thin">
        <color rgb="FF284E3F"/>
      </right>
      <top style="thin">
        <color rgb="FF284E3F"/>
      </top>
      <bottom style="thin">
        <color rgb="FF284E3F"/>
      </bottom>
      <diagonal/>
    </border>
    <border>
      <left style="thin">
        <color rgb="FF284E3F"/>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284E3F"/>
      </left>
      <right style="thin">
        <color rgb="FFF6F8F9"/>
      </right>
      <top style="thin">
        <color rgb="FFF6F8F9"/>
      </top>
      <bottom style="thin">
        <color rgb="FFF6F8F9"/>
      </bottom>
      <diagonal/>
    </border>
    <border>
      <left style="thin">
        <color rgb="FFF6F8F9"/>
      </left>
      <right style="thin">
        <color rgb="FFF6F8F9"/>
      </right>
      <top style="thin">
        <color rgb="FFF6F8F9"/>
      </top>
      <bottom style="thin">
        <color rgb="FFF6F8F9"/>
      </bottom>
      <diagonal/>
    </border>
    <border>
      <left style="thin">
        <color rgb="FF284E3F"/>
      </left>
      <right style="thin">
        <color rgb="FFF6F8F9"/>
      </right>
      <top style="thin">
        <color rgb="FFF6F8F9"/>
      </top>
      <bottom style="thin">
        <color rgb="FF284E3F"/>
      </bottom>
      <diagonal/>
    </border>
    <border>
      <left style="thin">
        <color rgb="FFF6F8F9"/>
      </left>
      <right style="thin">
        <color rgb="FFF6F8F9"/>
      </right>
      <top style="thin">
        <color rgb="FFF6F8F9"/>
      </top>
      <bottom style="thin">
        <color rgb="FF284E3F"/>
      </bottom>
      <diagonal/>
    </border>
    <border>
      <left/>
      <right/>
      <top style="thin">
        <color rgb="FFD4DADC"/>
      </top>
      <bottom style="thin">
        <color rgb="FFD4DADC"/>
      </bottom>
      <diagonal/>
    </border>
    <border>
      <left/>
      <right/>
      <top/>
      <bottom style="thin">
        <color rgb="FFD4DADC"/>
      </bottom>
      <diagonal/>
    </border>
    <border>
      <left/>
      <right/>
      <top style="thin">
        <color rgb="FFEAECF0"/>
      </top>
      <bottom style="thin">
        <color rgb="FFEAECF0"/>
      </bottom>
      <diagonal/>
    </border>
    <border>
      <left/>
      <right/>
      <top/>
      <bottom style="thin">
        <color rgb="FFEAECF0"/>
      </bottom>
      <diagonal/>
    </border>
    <border>
      <left style="thin">
        <color rgb="FF000000"/>
      </left>
      <right style="thin">
        <color rgb="FF000000"/>
      </right>
      <top style="thin">
        <color rgb="FF000000"/>
      </top>
      <bottom style="thin">
        <color rgb="FF000000"/>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right style="thin">
        <color rgb="FFABABAB"/>
      </right>
      <top style="thin">
        <color rgb="FFABABAB"/>
      </top>
      <bottom/>
      <diagonal/>
    </border>
    <border>
      <left/>
      <right style="thin">
        <color rgb="FFABABAB"/>
      </right>
      <top style="thin">
        <color indexed="65"/>
      </top>
      <bottom/>
      <diagonal/>
    </border>
    <border>
      <left/>
      <right style="thin">
        <color rgb="FFABABAB"/>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style="thin">
        <color rgb="FFABABAB"/>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D4DAD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s>
  <cellStyleXfs count="2">
    <xf numFmtId="0" fontId="0" fillId="0" borderId="0"/>
    <xf numFmtId="0" fontId="10" fillId="0" borderId="24" applyNumberFormat="0" applyFill="0" applyAlignment="0" applyProtection="0"/>
  </cellStyleXfs>
  <cellXfs count="143">
    <xf numFmtId="0" fontId="0" fillId="0" borderId="0" xfId="0"/>
    <xf numFmtId="0" fontId="5" fillId="3" borderId="12" xfId="0" applyFont="1" applyFill="1" applyBorder="1"/>
    <xf numFmtId="0" fontId="5" fillId="2" borderId="13" xfId="0" applyFont="1" applyFill="1" applyBorder="1"/>
    <xf numFmtId="0" fontId="5" fillId="3" borderId="13" xfId="0" applyFont="1" applyFill="1" applyBorder="1"/>
    <xf numFmtId="0" fontId="5" fillId="3" borderId="0" xfId="0" applyFont="1" applyFill="1"/>
    <xf numFmtId="0" fontId="6" fillId="0" borderId="0" xfId="0" applyFont="1"/>
    <xf numFmtId="0" fontId="0" fillId="0" borderId="15" xfId="0" applyBorder="1"/>
    <xf numFmtId="0" fontId="0" fillId="0" borderId="15" xfId="0" pivotButton="1" applyBorder="1"/>
    <xf numFmtId="0" fontId="0" fillId="0" borderId="15" xfId="0" applyBorder="1" applyAlignment="1">
      <alignment horizontal="left"/>
    </xf>
    <xf numFmtId="0" fontId="0" fillId="0" borderId="16" xfId="0" applyBorder="1" applyAlignment="1">
      <alignment horizontal="left"/>
    </xf>
    <xf numFmtId="0" fontId="0" fillId="0" borderId="18" xfId="0" applyBorder="1"/>
    <xf numFmtId="0" fontId="0" fillId="0" borderId="17" xfId="0" applyBorder="1" applyAlignment="1">
      <alignment horizontal="left"/>
    </xf>
    <xf numFmtId="0" fontId="8" fillId="4" borderId="1" xfId="0" applyFont="1" applyFill="1" applyBorder="1" applyAlignment="1">
      <alignment horizontal="left" vertical="center"/>
    </xf>
    <xf numFmtId="0" fontId="8" fillId="4" borderId="2" xfId="0" applyFont="1" applyFill="1" applyBorder="1" applyAlignment="1">
      <alignment horizontal="center" vertical="center"/>
    </xf>
    <xf numFmtId="0" fontId="2" fillId="2" borderId="4" xfId="0" applyFont="1" applyFill="1" applyBorder="1" applyAlignment="1">
      <alignment vertical="center"/>
    </xf>
    <xf numFmtId="49" fontId="3" fillId="2" borderId="5" xfId="0" applyNumberFormat="1" applyFont="1" applyFill="1" applyBorder="1" applyAlignment="1">
      <alignment vertical="center"/>
    </xf>
    <xf numFmtId="0" fontId="2" fillId="5" borderId="6" xfId="0" applyFont="1" applyFill="1" applyBorder="1" applyAlignment="1">
      <alignment vertical="center"/>
    </xf>
    <xf numFmtId="49" fontId="3" fillId="5" borderId="7" xfId="0" applyNumberFormat="1" applyFont="1" applyFill="1" applyBorder="1" applyAlignment="1">
      <alignment vertical="center"/>
    </xf>
    <xf numFmtId="0" fontId="2" fillId="5" borderId="8" xfId="0" applyFont="1" applyFill="1" applyBorder="1" applyAlignment="1">
      <alignment vertical="center"/>
    </xf>
    <xf numFmtId="49" fontId="3" fillId="5" borderId="9" xfId="0" applyNumberFormat="1" applyFont="1" applyFill="1" applyBorder="1" applyAlignment="1">
      <alignment vertical="center"/>
    </xf>
    <xf numFmtId="49" fontId="2" fillId="2" borderId="5" xfId="0" applyNumberFormat="1" applyFont="1" applyFill="1" applyBorder="1" applyAlignment="1">
      <alignment horizontal="center" vertical="center"/>
    </xf>
    <xf numFmtId="49" fontId="2" fillId="5" borderId="7" xfId="0" applyNumberFormat="1" applyFont="1" applyFill="1" applyBorder="1" applyAlignment="1">
      <alignment horizontal="center" vertical="center"/>
    </xf>
    <xf numFmtId="49" fontId="2" fillId="5" borderId="9" xfId="0" applyNumberFormat="1" applyFont="1" applyFill="1" applyBorder="1" applyAlignment="1">
      <alignment horizontal="center" vertical="center"/>
    </xf>
    <xf numFmtId="0" fontId="7" fillId="0" borderId="0" xfId="0" applyFont="1" applyAlignment="1">
      <alignment horizontal="center"/>
    </xf>
    <xf numFmtId="0" fontId="8" fillId="4" borderId="0" xfId="0" applyFont="1" applyFill="1" applyAlignment="1">
      <alignment horizontal="center" vertical="center"/>
    </xf>
    <xf numFmtId="49" fontId="8" fillId="4" borderId="0" xfId="0" applyNumberFormat="1" applyFont="1" applyFill="1" applyAlignment="1">
      <alignment horizontal="center" vertical="center"/>
    </xf>
    <xf numFmtId="0" fontId="0" fillId="0" borderId="16" xfId="0" applyBorder="1"/>
    <xf numFmtId="0" fontId="0" fillId="0" borderId="19" xfId="0" applyBorder="1"/>
    <xf numFmtId="0" fontId="0" fillId="0" borderId="17" xfId="0" applyBorder="1"/>
    <xf numFmtId="0" fontId="0" fillId="0" borderId="20" xfId="0" applyBorder="1"/>
    <xf numFmtId="0" fontId="8" fillId="6" borderId="0" xfId="0" applyFont="1" applyFill="1" applyAlignment="1">
      <alignment horizontal="center" vertical="center"/>
    </xf>
    <xf numFmtId="0" fontId="9" fillId="6" borderId="0" xfId="0" applyFont="1" applyFill="1" applyAlignment="1">
      <alignment horizontal="center" vertical="center"/>
    </xf>
    <xf numFmtId="0" fontId="0" fillId="0" borderId="21" xfId="0" applyBorder="1"/>
    <xf numFmtId="0" fontId="0" fillId="0" borderId="22" xfId="0" applyBorder="1"/>
    <xf numFmtId="0" fontId="0" fillId="0" borderId="23" xfId="0" applyBorder="1" applyAlignment="1">
      <alignment horizontal="left"/>
    </xf>
    <xf numFmtId="0" fontId="0" fillId="7" borderId="0" xfId="0" applyFill="1"/>
    <xf numFmtId="0" fontId="11" fillId="7" borderId="0" xfId="0" applyFont="1" applyFill="1" applyAlignment="1">
      <alignment horizontal="center" vertical="center"/>
    </xf>
    <xf numFmtId="0" fontId="12" fillId="7" borderId="0" xfId="0" applyFont="1" applyFill="1" applyAlignment="1">
      <alignment horizontal="center" vertical="center"/>
    </xf>
    <xf numFmtId="0" fontId="14" fillId="8" borderId="24" xfId="1" applyFont="1" applyFill="1" applyAlignment="1">
      <alignment horizontal="center" vertical="center" wrapText="1"/>
    </xf>
    <xf numFmtId="0" fontId="13" fillId="7" borderId="0" xfId="0" applyFont="1" applyFill="1"/>
    <xf numFmtId="0" fontId="9" fillId="0" borderId="28" xfId="0" applyFont="1" applyBorder="1" applyAlignment="1">
      <alignment horizontal="center" vertical="center" wrapText="1"/>
    </xf>
    <xf numFmtId="49" fontId="9" fillId="0" borderId="28" xfId="0" applyNumberFormat="1" applyFont="1" applyBorder="1" applyAlignment="1">
      <alignment horizontal="center" vertical="center" wrapText="1"/>
    </xf>
    <xf numFmtId="0" fontId="9" fillId="4" borderId="28" xfId="0" applyFont="1" applyFill="1" applyBorder="1" applyAlignment="1">
      <alignment horizontal="center" vertical="center" wrapText="1"/>
    </xf>
    <xf numFmtId="0" fontId="9" fillId="0" borderId="29" xfId="0" applyFont="1" applyBorder="1" applyAlignment="1">
      <alignment horizontal="center" vertical="center" wrapText="1"/>
    </xf>
    <xf numFmtId="0" fontId="0" fillId="0" borderId="0" xfId="0" applyAlignment="1">
      <alignment wrapText="1"/>
    </xf>
    <xf numFmtId="0" fontId="2" fillId="0" borderId="25" xfId="0" applyFont="1" applyBorder="1" applyAlignment="1">
      <alignment horizontal="center" vertical="center" wrapText="1"/>
    </xf>
    <xf numFmtId="164" fontId="2" fillId="0" borderId="25" xfId="0" applyNumberFormat="1" applyFont="1" applyBorder="1" applyAlignment="1">
      <alignment horizontal="center" vertical="center" wrapText="1"/>
    </xf>
    <xf numFmtId="0" fontId="2" fillId="0" borderId="26" xfId="0" applyFont="1" applyBorder="1" applyAlignment="1">
      <alignment horizontal="center" vertical="center" wrapText="1"/>
    </xf>
    <xf numFmtId="164" fontId="2" fillId="0" borderId="26" xfId="0" applyNumberFormat="1" applyFont="1" applyBorder="1" applyAlignment="1">
      <alignment horizontal="center" vertical="center" wrapText="1"/>
    </xf>
    <xf numFmtId="0" fontId="9" fillId="0" borderId="27"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32" xfId="0" applyFont="1" applyBorder="1" applyAlignment="1">
      <alignment horizontal="center" vertical="center" wrapText="1"/>
    </xf>
    <xf numFmtId="0" fontId="0" fillId="0" borderId="0" xfId="0" applyAlignment="1">
      <alignment horizontal="left" wrapText="1"/>
    </xf>
    <xf numFmtId="0" fontId="2" fillId="0" borderId="0" xfId="0" applyFont="1" applyAlignment="1">
      <alignment horizontal="left" wrapText="1"/>
    </xf>
    <xf numFmtId="49" fontId="3" fillId="0" borderId="25" xfId="0" applyNumberFormat="1" applyFont="1" applyBorder="1" applyAlignment="1">
      <alignment horizontal="left" vertical="center" wrapText="1"/>
    </xf>
    <xf numFmtId="49" fontId="3" fillId="0" borderId="26" xfId="0" applyNumberFormat="1" applyFont="1" applyBorder="1" applyAlignment="1">
      <alignment horizontal="left" vertical="center" wrapText="1"/>
    </xf>
    <xf numFmtId="0" fontId="18" fillId="0" borderId="0" xfId="0" applyFont="1" applyAlignment="1">
      <alignment horizontal="left" vertical="center" wrapText="1"/>
    </xf>
    <xf numFmtId="0" fontId="18" fillId="0" borderId="0" xfId="0" applyFont="1" applyAlignment="1">
      <alignment horizontal="center" vertical="center" wrapText="1"/>
    </xf>
    <xf numFmtId="0" fontId="0" fillId="0" borderId="0" xfId="0" applyAlignment="1">
      <alignment horizontal="center" vertical="center" wrapText="1"/>
    </xf>
    <xf numFmtId="0" fontId="7" fillId="0" borderId="16" xfId="0" applyFont="1" applyBorder="1" applyAlignment="1">
      <alignment horizontal="left"/>
    </xf>
    <xf numFmtId="0" fontId="4" fillId="0" borderId="0" xfId="0" applyFont="1" applyAlignment="1">
      <alignment wrapText="1"/>
    </xf>
    <xf numFmtId="0" fontId="4" fillId="0" borderId="0" xfId="0" applyFont="1" applyAlignment="1">
      <alignment horizontal="center" vertical="center" wrapText="1"/>
    </xf>
    <xf numFmtId="164" fontId="5" fillId="3" borderId="12" xfId="0" applyNumberFormat="1" applyFont="1" applyFill="1" applyBorder="1" applyAlignment="1">
      <alignment horizontal="center" vertical="center"/>
    </xf>
    <xf numFmtId="0" fontId="5" fillId="3" borderId="12" xfId="0" applyFont="1" applyFill="1" applyBorder="1" applyAlignment="1">
      <alignment horizontal="center" vertical="center"/>
    </xf>
    <xf numFmtId="164" fontId="5" fillId="2" borderId="13" xfId="0" applyNumberFormat="1" applyFont="1" applyFill="1" applyBorder="1" applyAlignment="1">
      <alignment horizontal="center" vertical="center"/>
    </xf>
    <xf numFmtId="0" fontId="5" fillId="2" borderId="13" xfId="0" applyFont="1" applyFill="1" applyBorder="1" applyAlignment="1">
      <alignment horizontal="center" vertical="center"/>
    </xf>
    <xf numFmtId="164" fontId="5" fillId="3" borderId="13" xfId="0" applyNumberFormat="1" applyFont="1" applyFill="1" applyBorder="1" applyAlignment="1">
      <alignment horizontal="center" vertical="center"/>
    </xf>
    <xf numFmtId="0" fontId="5" fillId="3" borderId="13" xfId="0" applyFont="1" applyFill="1" applyBorder="1" applyAlignment="1">
      <alignment horizontal="center" vertical="center"/>
    </xf>
    <xf numFmtId="3" fontId="5" fillId="3" borderId="13" xfId="0" applyNumberFormat="1" applyFont="1" applyFill="1" applyBorder="1" applyAlignment="1">
      <alignment horizontal="center" vertical="center"/>
    </xf>
    <xf numFmtId="164" fontId="5" fillId="3" borderId="0" xfId="0" applyNumberFormat="1" applyFont="1" applyFill="1" applyAlignment="1">
      <alignment horizontal="center" vertical="center"/>
    </xf>
    <xf numFmtId="0" fontId="5" fillId="3" borderId="0" xfId="0" applyFont="1" applyFill="1" applyAlignment="1">
      <alignment horizontal="center" vertical="center"/>
    </xf>
    <xf numFmtId="0" fontId="0" fillId="0" borderId="0" xfId="0" applyAlignment="1">
      <alignment horizontal="center" vertical="center"/>
    </xf>
    <xf numFmtId="0" fontId="19" fillId="0" borderId="0" xfId="0" applyFont="1" applyAlignment="1">
      <alignment horizontal="center" vertical="center" wrapText="1"/>
    </xf>
    <xf numFmtId="0" fontId="20" fillId="0" borderId="0" xfId="0" applyFont="1" applyAlignment="1">
      <alignment wrapText="1"/>
    </xf>
    <xf numFmtId="0" fontId="6" fillId="0" borderId="10" xfId="0" applyFont="1" applyBorder="1" applyAlignment="1">
      <alignment horizontal="center" vertical="center"/>
    </xf>
    <xf numFmtId="0" fontId="20" fillId="0" borderId="0" xfId="0" applyFont="1"/>
    <xf numFmtId="0" fontId="6" fillId="0" borderId="1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49" fontId="6" fillId="0" borderId="10" xfId="0" applyNumberFormat="1" applyFont="1" applyBorder="1" applyAlignment="1">
      <alignment horizontal="center"/>
    </xf>
    <xf numFmtId="0" fontId="6" fillId="0" borderId="10" xfId="0" applyFont="1" applyBorder="1" applyAlignment="1">
      <alignment horizontal="center"/>
    </xf>
    <xf numFmtId="0" fontId="6" fillId="0" borderId="34" xfId="0" applyFont="1" applyBorder="1" applyAlignment="1">
      <alignment horizontal="center"/>
    </xf>
    <xf numFmtId="3" fontId="5" fillId="3" borderId="12" xfId="0" applyNumberFormat="1" applyFont="1" applyFill="1" applyBorder="1" applyAlignment="1">
      <alignment horizontal="center" vertical="center" wrapText="1"/>
    </xf>
    <xf numFmtId="0" fontId="5" fillId="3" borderId="12" xfId="0" applyFont="1" applyFill="1" applyBorder="1" applyAlignment="1">
      <alignment horizontal="center" vertical="center" wrapText="1"/>
    </xf>
    <xf numFmtId="3" fontId="5" fillId="2" borderId="13" xfId="0" applyNumberFormat="1" applyFont="1" applyFill="1" applyBorder="1" applyAlignment="1">
      <alignment horizontal="center" vertical="center" wrapText="1"/>
    </xf>
    <xf numFmtId="0" fontId="5" fillId="2" borderId="13" xfId="0" applyFont="1" applyFill="1" applyBorder="1" applyAlignment="1">
      <alignment horizontal="center" vertical="center" wrapText="1"/>
    </xf>
    <xf numFmtId="3" fontId="5" fillId="3" borderId="13" xfId="0" applyNumberFormat="1" applyFont="1" applyFill="1" applyBorder="1" applyAlignment="1">
      <alignment horizontal="center" vertical="center" wrapText="1"/>
    </xf>
    <xf numFmtId="0" fontId="5" fillId="3" borderId="13" xfId="0" applyFont="1" applyFill="1" applyBorder="1" applyAlignment="1">
      <alignment horizontal="center" vertical="center" wrapText="1"/>
    </xf>
    <xf numFmtId="3"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4" fillId="2" borderId="0" xfId="0" applyFont="1" applyFill="1" applyAlignment="1">
      <alignment horizontal="center" vertical="center" wrapText="1"/>
    </xf>
    <xf numFmtId="0" fontId="20" fillId="0" borderId="0" xfId="0" applyFont="1" applyAlignment="1">
      <alignment horizontal="center" vertical="center"/>
    </xf>
    <xf numFmtId="0" fontId="15" fillId="0" borderId="1" xfId="0" applyFont="1" applyBorder="1" applyAlignment="1">
      <alignment horizontal="center" vertical="center"/>
    </xf>
    <xf numFmtId="0" fontId="15" fillId="0" borderId="2" xfId="0" applyFont="1" applyBorder="1" applyAlignment="1">
      <alignment horizontal="center"/>
    </xf>
    <xf numFmtId="0" fontId="15" fillId="0" borderId="3" xfId="0" applyFont="1" applyBorder="1" applyAlignment="1">
      <alignment horizontal="center"/>
    </xf>
    <xf numFmtId="0" fontId="15" fillId="0" borderId="0" xfId="0" applyFont="1" applyAlignment="1">
      <alignment horizontal="center"/>
    </xf>
    <xf numFmtId="0" fontId="17" fillId="0" borderId="0" xfId="0" applyFont="1" applyAlignment="1">
      <alignment horizontal="center"/>
    </xf>
    <xf numFmtId="0" fontId="16" fillId="0" borderId="14" xfId="0" applyFont="1" applyBorder="1" applyAlignment="1">
      <alignment vertical="center" wrapText="1"/>
    </xf>
    <xf numFmtId="0" fontId="1" fillId="0" borderId="14" xfId="0" applyFont="1" applyBorder="1" applyAlignment="1">
      <alignment horizontal="center" wrapText="1"/>
    </xf>
    <xf numFmtId="0" fontId="20" fillId="0" borderId="0" xfId="0" applyFont="1" applyAlignment="1">
      <alignment horizontal="center"/>
    </xf>
    <xf numFmtId="0" fontId="2" fillId="0" borderId="14" xfId="0" applyFont="1" applyBorder="1" applyAlignment="1">
      <alignment horizontal="center" vertical="center"/>
    </xf>
    <xf numFmtId="0" fontId="2" fillId="0" borderId="35" xfId="0" applyFont="1" applyBorder="1" applyAlignment="1">
      <alignment horizontal="center" vertical="center"/>
    </xf>
    <xf numFmtId="0" fontId="2" fillId="0" borderId="36"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0" fontId="9" fillId="0" borderId="37" xfId="0" applyFont="1" applyBorder="1" applyAlignment="1">
      <alignment horizontal="center" vertical="center"/>
    </xf>
    <xf numFmtId="0" fontId="9" fillId="0" borderId="38" xfId="0" applyFont="1" applyBorder="1" applyAlignment="1">
      <alignment horizontal="center" vertical="center"/>
    </xf>
    <xf numFmtId="0" fontId="9" fillId="0" borderId="39" xfId="0" applyFont="1" applyBorder="1" applyAlignment="1">
      <alignment horizontal="center" vertical="center"/>
    </xf>
    <xf numFmtId="0" fontId="9" fillId="0" borderId="0" xfId="0" applyFont="1"/>
    <xf numFmtId="0" fontId="3" fillId="0" borderId="14" xfId="0" applyFont="1" applyBorder="1" applyAlignment="1">
      <alignment horizontal="left" vertical="center"/>
    </xf>
    <xf numFmtId="0" fontId="3" fillId="0" borderId="41" xfId="0" applyFont="1" applyBorder="1" applyAlignment="1">
      <alignment horizontal="left" vertical="center"/>
    </xf>
    <xf numFmtId="0" fontId="18" fillId="0" borderId="0" xfId="0" applyFont="1" applyAlignment="1">
      <alignment horizontal="left"/>
    </xf>
    <xf numFmtId="49" fontId="3" fillId="0" borderId="0" xfId="0" applyNumberFormat="1" applyFont="1" applyAlignment="1">
      <alignment horizontal="left" wrapText="1"/>
    </xf>
    <xf numFmtId="0" fontId="7" fillId="0" borderId="0" xfId="0" applyFont="1" applyAlignment="1">
      <alignment horizontal="left" wrapText="1"/>
    </xf>
    <xf numFmtId="164" fontId="2" fillId="0" borderId="0" xfId="0" applyNumberFormat="1" applyFont="1" applyAlignment="1">
      <alignment horizontal="left" wrapText="1"/>
    </xf>
    <xf numFmtId="0" fontId="0" fillId="0" borderId="0" xfId="0" pivotButton="1" applyAlignment="1">
      <alignment horizontal="center" vertical="center" wrapText="1"/>
    </xf>
    <xf numFmtId="0" fontId="7" fillId="0" borderId="25" xfId="0" applyFont="1" applyBorder="1" applyAlignment="1">
      <alignment horizontal="center" vertical="center" wrapText="1"/>
    </xf>
    <xf numFmtId="0" fontId="0" fillId="0" borderId="25" xfId="0" applyBorder="1" applyAlignment="1">
      <alignment horizontal="center" vertical="center" wrapText="1"/>
    </xf>
    <xf numFmtId="0" fontId="7" fillId="0" borderId="26" xfId="0" applyFont="1" applyBorder="1" applyAlignment="1">
      <alignment horizontal="center" vertical="center" wrapText="1"/>
    </xf>
    <xf numFmtId="0" fontId="0" fillId="0" borderId="26" xfId="0" applyBorder="1" applyAlignment="1">
      <alignment horizontal="center" vertical="center" wrapText="1"/>
    </xf>
    <xf numFmtId="2" fontId="21" fillId="0" borderId="31" xfId="0" applyNumberFormat="1" applyFont="1" applyBorder="1" applyAlignment="1">
      <alignment horizontal="center" vertical="center" wrapText="1"/>
    </xf>
    <xf numFmtId="2" fontId="21" fillId="0" borderId="33" xfId="0" applyNumberFormat="1" applyFont="1" applyBorder="1" applyAlignment="1">
      <alignment horizontal="center" vertical="center" wrapText="1"/>
    </xf>
    <xf numFmtId="0" fontId="3" fillId="0" borderId="0" xfId="0" applyFont="1" applyAlignment="1">
      <alignment horizontal="left" vertical="center" wrapText="1"/>
    </xf>
    <xf numFmtId="0" fontId="0" fillId="11" borderId="0" xfId="0" applyFill="1" applyAlignment="1">
      <alignment horizontal="center" vertical="center" wrapText="1"/>
    </xf>
    <xf numFmtId="164" fontId="0" fillId="0" borderId="0" xfId="0" applyNumberFormat="1" applyAlignment="1">
      <alignment horizontal="center" wrapText="1"/>
    </xf>
    <xf numFmtId="0" fontId="23" fillId="7" borderId="25" xfId="0" applyFont="1" applyFill="1" applyBorder="1" applyAlignment="1">
      <alignment horizontal="center"/>
    </xf>
    <xf numFmtId="0" fontId="22" fillId="8" borderId="25" xfId="0" applyFont="1" applyFill="1" applyBorder="1" applyAlignment="1">
      <alignment horizontal="center" vertical="center"/>
    </xf>
    <xf numFmtId="0" fontId="23" fillId="7" borderId="25" xfId="0" applyFont="1" applyFill="1" applyBorder="1" applyAlignment="1">
      <alignment horizontal="center" vertical="center"/>
    </xf>
    <xf numFmtId="0" fontId="12" fillId="8" borderId="26" xfId="0" applyFont="1" applyFill="1" applyBorder="1" applyAlignment="1">
      <alignment horizontal="center" vertical="center" wrapText="1"/>
    </xf>
    <xf numFmtId="0" fontId="33" fillId="8" borderId="0" xfId="0" applyFont="1" applyFill="1" applyAlignment="1">
      <alignment horizontal="center" vertical="center" wrapText="1"/>
    </xf>
    <xf numFmtId="0" fontId="9" fillId="9" borderId="0" xfId="0" applyFont="1" applyFill="1" applyAlignment="1">
      <alignment horizontal="center" vertical="center" wrapText="1"/>
    </xf>
    <xf numFmtId="0" fontId="9" fillId="10" borderId="0" xfId="0" applyFont="1" applyFill="1" applyAlignment="1">
      <alignment horizontal="center" vertical="center" wrapText="1"/>
    </xf>
    <xf numFmtId="0" fontId="0" fillId="0" borderId="0" xfId="0" applyNumberFormat="1" applyAlignment="1">
      <alignment horizontal="center" wrapText="1"/>
    </xf>
    <xf numFmtId="0" fontId="11" fillId="7" borderId="25" xfId="0" applyNumberFormat="1" applyFont="1" applyFill="1" applyBorder="1"/>
    <xf numFmtId="0" fontId="24" fillId="7" borderId="25" xfId="0" applyNumberFormat="1" applyFont="1" applyFill="1" applyBorder="1" applyAlignment="1">
      <alignment horizontal="center" vertical="center"/>
    </xf>
    <xf numFmtId="0" fontId="25" fillId="7" borderId="25" xfId="0" applyNumberFormat="1" applyFont="1" applyFill="1" applyBorder="1" applyAlignment="1">
      <alignment horizontal="center" vertical="center"/>
    </xf>
    <xf numFmtId="0" fontId="0" fillId="0" borderId="15" xfId="0" applyNumberFormat="1" applyBorder="1"/>
    <xf numFmtId="0" fontId="0" fillId="0" borderId="18" xfId="0" applyNumberFormat="1" applyBorder="1"/>
    <xf numFmtId="0" fontId="0" fillId="0" borderId="16" xfId="0" applyNumberFormat="1" applyBorder="1"/>
    <xf numFmtId="0" fontId="0" fillId="0" borderId="19" xfId="0" applyNumberFormat="1" applyBorder="1"/>
    <xf numFmtId="0" fontId="0" fillId="0" borderId="17" xfId="0" applyNumberFormat="1" applyBorder="1"/>
    <xf numFmtId="0" fontId="0" fillId="0" borderId="20" xfId="0" applyNumberFormat="1" applyBorder="1"/>
  </cellXfs>
  <cellStyles count="2">
    <cellStyle name="Heading 2" xfId="1" builtinId="17"/>
    <cellStyle name="Normal" xfId="0" builtinId="0"/>
  </cellStyles>
  <dxfs count="259">
    <dxf>
      <font>
        <b val="0"/>
        <i val="0"/>
        <strike val="0"/>
        <condense val="0"/>
        <extend val="0"/>
        <outline val="0"/>
        <shadow val="0"/>
        <u val="none"/>
        <vertAlign val="baseline"/>
        <sz val="10"/>
        <color rgb="FF000000"/>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b/>
        <i val="0"/>
        <strike val="0"/>
        <condense val="0"/>
        <extend val="0"/>
        <outline val="0"/>
        <shadow val="0"/>
        <u val="none"/>
        <vertAlign val="baseline"/>
        <sz val="10"/>
        <color theme="1"/>
        <name val="Arial"/>
        <family val="2"/>
        <scheme val="minor"/>
      </font>
      <alignment horizontal="left"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alignment horizontal="center" vertical="center" textRotation="0" wrapText="0" indent="0" justifyLastLine="0" shrinkToFit="0" readingOrder="0"/>
      <border diagonalUp="0" diagonalDown="0" outline="0">
        <left/>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0"/>
        <color theme="0"/>
        <name val="Arial"/>
        <scheme val="minor"/>
      </font>
      <alignment horizontal="center" vertical="center" textRotation="0" wrapText="0" indent="0" justifyLastLine="0" shrinkToFit="0" readingOrder="0"/>
      <border diagonalUp="0" diagonalDown="0" outline="0">
        <left style="thin">
          <color rgb="FF000000"/>
        </left>
        <right style="thin">
          <color rgb="FF000000"/>
        </right>
        <top/>
        <bottom/>
      </border>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horizontal="center" vertical="bottom" textRotation="0" wrapText="1" indent="0" justifyLastLine="0" shrinkToFit="0" readingOrder="0"/>
    </dxf>
    <dxf>
      <font>
        <strike val="0"/>
        <outline val="0"/>
        <shadow val="0"/>
        <u val="none"/>
        <vertAlign val="baseline"/>
        <sz val="11"/>
        <name val="Arial"/>
        <scheme val="minor"/>
      </font>
      <alignment vertical="center" textRotation="0" wrapText="1" indent="0" justifyLastLine="0" shrinkToFit="0" readingOrder="0"/>
    </dxf>
    <dxf>
      <font>
        <strike val="0"/>
        <outline val="0"/>
        <shadow val="0"/>
        <u val="none"/>
        <vertAlign val="baseline"/>
        <sz val="11"/>
        <name val="Arial"/>
        <scheme val="minor"/>
      </font>
      <alignment vertical="center" textRotation="0" wrapText="1" indent="0" justifyLastLine="0" shrinkToFit="0" readingOrder="0"/>
    </dxf>
    <dxf>
      <font>
        <strike val="0"/>
        <outline val="0"/>
        <shadow val="0"/>
        <u val="none"/>
        <vertAlign val="baseline"/>
        <sz val="11"/>
        <name val="Arial"/>
        <scheme val="minor"/>
      </font>
      <alignment vertical="center" textRotation="0" wrapText="1" indent="0" justifyLastLine="0" shrinkToFit="0" readingOrder="0"/>
    </dxf>
    <dxf>
      <font>
        <strike val="0"/>
        <outline val="0"/>
        <shadow val="0"/>
        <u val="none"/>
        <vertAlign val="baseline"/>
        <sz val="11"/>
        <color theme="0"/>
        <name val="Arial"/>
        <scheme val="minor"/>
      </font>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rgb="FF475467"/>
        <name val="Arial"/>
        <family val="2"/>
        <scheme val="none"/>
      </font>
      <numFmt numFmtId="3" formatCode="#,##0"/>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3" formatCode="#,##0"/>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3" formatCode="#,##0"/>
      <fill>
        <patternFill patternType="solid">
          <fgColor rgb="FFFEFEFE"/>
          <bgColor rgb="FFFEFEFE"/>
        </patternFill>
      </fill>
      <alignment horizontal="center" vertical="center" textRotation="0" wrapText="1"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border diagonalUp="0" diagonalDown="0" outline="0">
        <left/>
        <right/>
        <top/>
        <bottom style="thin">
          <color rgb="FFEAECF0"/>
        </bottom>
      </border>
    </dxf>
    <dxf>
      <font>
        <b val="0"/>
        <i val="0"/>
        <strike val="0"/>
        <condense val="0"/>
        <extend val="0"/>
        <outline val="0"/>
        <shadow val="0"/>
        <u val="none"/>
        <vertAlign val="baseline"/>
        <sz val="11"/>
        <color rgb="FF000000"/>
        <name val="&quot;Aptos Narrow&quot;"/>
        <scheme val="none"/>
      </font>
      <alignment horizontal="center" vertical="center" textRotation="0" indent="0" justifyLastLine="0" shrinkToFit="0" readingOrder="0"/>
    </dxf>
    <dxf>
      <font>
        <b val="0"/>
        <i val="0"/>
        <strike val="0"/>
        <condense val="0"/>
        <extend val="0"/>
        <outline val="0"/>
        <shadow val="0"/>
        <u val="none"/>
        <vertAlign val="baseline"/>
        <sz val="11"/>
        <color rgb="FF475467"/>
        <name val="Arial"/>
        <family val="2"/>
        <scheme val="none"/>
      </font>
      <numFmt numFmtId="164" formatCode="&quot;$&quot;#,##0"/>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164" formatCode="&quot;$&quot;#,##0"/>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164" formatCode="&quot;$&quot;#,##0"/>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164" formatCode="&quot;$&quot;#,##0"/>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164" formatCode="&quot;$&quot;#,##0"/>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numFmt numFmtId="164" formatCode="&quot;$&quot;#,##0"/>
      <fill>
        <patternFill patternType="solid">
          <fgColor rgb="FFFEFEFE"/>
          <bgColor rgb="FFFEFEFE"/>
        </patternFill>
      </fill>
      <alignment horizontal="center" vertical="center" textRotation="0" wrapText="0" indent="0" justifyLastLine="0" shrinkToFit="0" readingOrder="0"/>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border diagonalUp="0" diagonalDown="0" outline="0">
        <left/>
        <right/>
        <top/>
        <bottom style="thin">
          <color rgb="FFEAECF0"/>
        </bottom>
      </border>
    </dxf>
    <dxf>
      <font>
        <b val="0"/>
        <i val="0"/>
        <strike val="0"/>
        <condense val="0"/>
        <extend val="0"/>
        <outline val="0"/>
        <shadow val="0"/>
        <u val="none"/>
        <vertAlign val="baseline"/>
        <sz val="11"/>
        <color rgb="FF475467"/>
        <name val="Arial"/>
        <family val="2"/>
        <scheme val="none"/>
      </font>
      <fill>
        <patternFill patternType="solid">
          <fgColor rgb="FFFEFEFE"/>
          <bgColor rgb="FFFEFEFE"/>
        </patternFill>
      </fill>
      <alignment horizontal="right"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general" vertical="bottom"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border outline="0">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1"/>
        <color rgb="FF000000"/>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numFmt numFmtId="30" formatCode="@"/>
      <alignment horizontal="center" vertical="bottom" textRotation="0" wrapText="0" indent="0" justifyLastLine="0" shrinkToFit="0" readingOrder="0"/>
      <border diagonalUp="0" diagonalDown="0" outline="0">
        <left/>
        <right/>
        <top style="thin">
          <color rgb="FFD4DADC"/>
        </top>
        <bottom style="thin">
          <color rgb="FFD4DADC"/>
        </bottom>
      </border>
    </dxf>
    <dxf>
      <border outline="0">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rgb="FF000000"/>
        <name val="Arial"/>
        <family val="2"/>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family val="2"/>
      </font>
      <alignment horizontal="left" vertical="center" textRotation="0" wrapText="1" indent="0" justifyLastLine="0" shrinkToFit="0" readingOrder="0"/>
    </dxf>
    <dxf>
      <alignment horizontal="left" vertical="bottom" textRotation="0" wrapText="1" indent="0" justifyLastLine="0" shrinkToFit="0" readingOrder="0"/>
    </dxf>
    <dxf>
      <fill>
        <patternFill patternType="solid">
          <fgColor indexed="64"/>
          <bgColor theme="8" tint="0.39997558519241921"/>
        </patternFill>
      </fill>
      <alignment horizontal="center" vertical="center" textRotation="0" wrapText="1" indent="0" justifyLastLine="0" shrinkToFit="0" readingOrder="0"/>
    </dxf>
    <dxf>
      <font>
        <b/>
        <strike val="0"/>
        <outline val="0"/>
        <shadow val="0"/>
        <u val="none"/>
        <vertAlign val="baseline"/>
        <sz val="10"/>
        <color auto="1"/>
        <name val="Arial"/>
        <family val="2"/>
        <scheme val="minor"/>
      </font>
      <numFmt numFmtId="2" formatCode="0.00"/>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family val="2"/>
        <scheme val="minor"/>
      </font>
      <numFmt numFmtId="30" formatCode="@"/>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alignment horizontal="left" vertical="bottom"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bottom style="thin">
          <color indexed="64"/>
        </bottom>
      </border>
    </dxf>
    <dxf>
      <font>
        <b/>
        <strike val="0"/>
        <outline val="0"/>
        <shadow val="0"/>
        <u val="none"/>
        <vertAlign val="baseline"/>
        <sz val="10"/>
        <color theme="0"/>
        <name val="Arial"/>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alignment wrapText="1"/>
    </dxf>
    <dxf>
      <numFmt numFmtId="164" formatCode="&quot;$&quot;#,##0"/>
    </dxf>
    <dxf>
      <alignment horizontal="center"/>
    </dxf>
    <dxf>
      <alignment horizontal="center"/>
    </dxf>
    <dxf>
      <alignment horizontal="center"/>
    </dxf>
    <dxf>
      <alignment vertical="center"/>
    </dxf>
    <dxf>
      <alignment vertical="center"/>
    </dxf>
    <dxf>
      <alignment vertical="bottom"/>
    </dxf>
    <dxf>
      <alignment vertical="bottom"/>
    </dxf>
    <dxf>
      <alignment vertical="bottom"/>
    </dxf>
    <dxf>
      <alignment horizontal="left"/>
    </dxf>
    <dxf>
      <alignment horizontal="left"/>
    </dxf>
    <dxf>
      <alignment wrapText="1"/>
    </dxf>
    <dxf>
      <alignment wrapText="1"/>
    </dxf>
    <dxf>
      <alignment wrapText="1"/>
    </dxf>
    <dxf>
      <alignment wrapText="1"/>
    </dxf>
    <dxf>
      <alignment wrapText="1"/>
    </dxf>
    <dxf>
      <alignment horizontal="center"/>
    </dxf>
    <dxf>
      <alignment horizontal="center"/>
    </dxf>
    <dxf>
      <alignment horizontal="center"/>
    </dxf>
    <dxf>
      <alignment vertical="center"/>
    </dxf>
    <dxf>
      <alignment vertical="center"/>
    </dxf>
    <dxf>
      <alignment vertical="bottom"/>
    </dxf>
    <dxf>
      <alignment vertical="bottom"/>
    </dxf>
    <dxf>
      <alignment vertical="bottom"/>
    </dxf>
    <dxf>
      <alignment horizontal="left"/>
    </dxf>
    <dxf>
      <alignment horizontal="left"/>
    </dxf>
    <dxf>
      <alignment wrapText="1"/>
    </dxf>
    <dxf>
      <alignment wrapText="1"/>
    </dxf>
    <dxf>
      <alignment wrapText="1"/>
    </dxf>
    <dxf>
      <alignment wrapText="1"/>
    </dxf>
    <dxf>
      <alignment wrapText="1"/>
    </dxf>
    <dxf>
      <alignment horizontal="center"/>
    </dxf>
    <dxf>
      <alignment horizontal="center"/>
    </dxf>
    <dxf>
      <alignment horizontal="center"/>
    </dxf>
    <dxf>
      <alignment vertical="center"/>
    </dxf>
    <dxf>
      <alignment vertical="center"/>
    </dxf>
    <dxf>
      <alignment vertical="bottom"/>
    </dxf>
    <dxf>
      <alignment vertical="bottom"/>
    </dxf>
    <dxf>
      <alignment vertical="bottom"/>
    </dxf>
    <dxf>
      <alignment horizontal="left"/>
    </dxf>
    <dxf>
      <alignment horizontal="left"/>
    </dxf>
    <dxf>
      <alignment wrapText="1"/>
    </dxf>
    <dxf>
      <alignment wrapText="1"/>
    </dxf>
    <dxf>
      <alignment wrapText="1"/>
    </dxf>
    <dxf>
      <alignment wrapText="1"/>
    </dxf>
    <dxf>
      <alignment wrapText="1"/>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33"/>
        <color theme="0"/>
        <name val="Bodoni MT Black"/>
        <family val="1"/>
        <scheme val="none"/>
      </font>
      <fill>
        <patternFill patternType="solid">
          <fgColor indexed="64"/>
          <bgColor theme="4" tint="-0.249977111117893"/>
        </patternFill>
      </fill>
      <alignment horizontal="center" vertical="center" textRotation="0" wrapText="1" indent="0" justifyLastLine="0" shrinkToFit="0" readingOrder="0"/>
    </dxf>
    <dxf>
      <font>
        <strike val="0"/>
        <outline val="0"/>
        <shadow val="0"/>
        <u val="none"/>
        <vertAlign val="baseline"/>
        <sz val="26"/>
        <color rgb="FF000000"/>
        <name val="Arial"/>
        <family val="2"/>
        <scheme val="minor"/>
      </font>
      <fill>
        <patternFill patternType="solid">
          <fgColor indexed="64"/>
          <bgColor theme="4" tint="0.79998168889431442"/>
        </patternFill>
      </fill>
      <alignment horizontal="center" vertical="center" textRotation="0" wrapText="0" indent="0" justifyLastLine="0" shrinkToFit="0" readingOrder="0"/>
    </dxf>
    <dxf>
      <font>
        <b/>
        <strike val="0"/>
        <outline val="0"/>
        <shadow val="0"/>
        <u val="none"/>
        <vertAlign val="baseline"/>
        <sz val="26"/>
        <color theme="2"/>
        <name val="Arial"/>
        <scheme val="minor"/>
      </font>
      <fill>
        <patternFill patternType="solid">
          <fgColor indexed="64"/>
          <bgColor theme="4" tint="-0.249977111117893"/>
        </patternFill>
      </fill>
      <alignment horizontal="center" vertical="center" textRotation="0" wrapText="1" indent="0" justifyLastLine="0" shrinkToFit="0" readingOrder="0"/>
    </dxf>
    <dxf>
      <font>
        <name val="Arial"/>
        <scheme val="minor"/>
      </font>
    </dxf>
    <dxf>
      <font>
        <b/>
      </font>
    </dxf>
    <dxf>
      <font>
        <b/>
      </font>
    </dxf>
    <dxf>
      <font>
        <sz val="26"/>
      </font>
    </dxf>
    <dxf>
      <font>
        <sz val="26"/>
      </font>
    </dxf>
    <dxf>
      <font>
        <b/>
        <sz val="26"/>
        <color theme="1" tint="0.14999847407452621"/>
      </font>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249977111117893"/>
        </patternFill>
      </fill>
    </dxf>
    <dxf>
      <fill>
        <patternFill>
          <bgColor theme="4" tint="-0.249977111117893"/>
        </patternFill>
      </fill>
    </dxf>
    <dxf>
      <fill>
        <patternFill>
          <bgColor theme="4" tint="0.79998168889431442"/>
        </patternFill>
      </fill>
    </dxf>
    <dxf>
      <fill>
        <patternFill>
          <bgColor theme="4" tint="0.79998168889431442"/>
        </patternFill>
      </fill>
    </dxf>
    <dxf>
      <fill>
        <patternFill>
          <bgColor theme="4" tint="0.79998168889431442"/>
        </patternFill>
      </fill>
    </dxf>
    <dxf>
      <alignment wrapText="1"/>
    </dxf>
    <dxf>
      <alignment wrapText="1"/>
    </dxf>
    <dxf>
      <font>
        <sz val="26"/>
      </font>
    </dxf>
    <dxf>
      <font>
        <sz val="26"/>
      </font>
    </dxf>
    <dxf>
      <alignment horizontal="center"/>
    </dxf>
    <dxf>
      <alignment horizontal="center"/>
    </dxf>
    <dxf>
      <alignment vertical="center"/>
    </dxf>
    <dxf>
      <alignment vertical="center"/>
    </dxf>
    <dxf>
      <fill>
        <patternFill>
          <bgColor theme="7" tint="0.79998168889431442"/>
        </patternFill>
      </fill>
    </dxf>
    <dxf>
      <alignment horizontal="center"/>
    </dxf>
    <dxf>
      <alignment vertical="center"/>
    </dxf>
    <dxf>
      <font>
        <sz val="24"/>
      </font>
    </dxf>
    <dxf>
      <font>
        <b val="0"/>
      </font>
    </dxf>
    <dxf>
      <fill>
        <patternFill>
          <bgColor theme="7" tint="0.79998168889431442"/>
        </patternFill>
      </fill>
    </dxf>
    <dxf>
      <font>
        <color theme="3"/>
      </font>
    </dxf>
    <dxf>
      <font>
        <b/>
      </font>
    </dxf>
    <dxf>
      <font>
        <sz val="28"/>
      </font>
    </dxf>
    <dxf>
      <font>
        <sz val="28"/>
      </font>
    </dxf>
    <dxf>
      <font>
        <sz val="26"/>
      </font>
    </dxf>
    <dxf>
      <font>
        <sz val="20"/>
      </font>
    </dxf>
    <dxf>
      <font>
        <sz val="20"/>
      </font>
    </dxf>
    <dxf>
      <fill>
        <patternFill>
          <bgColor theme="4" tint="0.39997558519241921"/>
        </patternFill>
      </fill>
    </dxf>
    <dxf>
      <fill>
        <patternFill>
          <bgColor theme="4" tint="0.39997558519241921"/>
        </patternFill>
      </fill>
    </dxf>
    <dxf>
      <fill>
        <patternFill>
          <bgColor rgb="FF35AD57"/>
        </patternFill>
      </fill>
    </dxf>
    <dxf>
      <fill>
        <patternFill>
          <bgColor rgb="FF35AD57"/>
        </patternFill>
      </fill>
    </dxf>
    <dxf>
      <fill>
        <patternFill>
          <bgColor rgb="FF35AD57"/>
        </patternFill>
      </fill>
    </dxf>
    <dxf>
      <fill>
        <patternFill>
          <bgColor rgb="FF31A151"/>
        </patternFill>
      </fill>
    </dxf>
    <dxf>
      <fill>
        <patternFill>
          <bgColor rgb="FF31A151"/>
        </patternFill>
      </fill>
    </dxf>
    <dxf>
      <fill>
        <patternFill>
          <bgColor rgb="FF31A151"/>
        </patternFill>
      </fill>
    </dxf>
    <dxf>
      <alignment vertical="cent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bgColor theme="4" tint="-0.249977111117893"/>
        </patternFill>
      </fill>
    </dxf>
    <dxf>
      <fill>
        <patternFill>
          <bgColor theme="4" tint="-0.249977111117893"/>
        </patternFill>
      </fill>
    </dxf>
    <dxf>
      <fill>
        <patternFill>
          <bgColor theme="4" tint="0.79998168889431442"/>
        </patternFill>
      </fill>
    </dxf>
    <dxf>
      <fill>
        <patternFill>
          <bgColor theme="4" tint="0.79998168889431442"/>
        </patternFill>
      </fill>
    </dxf>
    <dxf>
      <fill>
        <patternFill>
          <bgColor theme="4" tint="0.79998168889431442"/>
        </patternFill>
      </fill>
    </dxf>
    <dxf>
      <font>
        <sz val="26"/>
      </font>
    </dxf>
    <dxf>
      <font>
        <sz val="26"/>
      </font>
    </dxf>
    <dxf>
      <font>
        <sz val="26"/>
      </font>
    </dxf>
    <dxf>
      <font>
        <sz val="26"/>
      </font>
    </dxf>
    <dxf>
      <font>
        <sz val="26"/>
      </font>
    </dxf>
    <dxf>
      <font>
        <b/>
      </font>
    </dxf>
    <dxf>
      <fill>
        <patternFill>
          <bgColor theme="4" tint="0.39997558519241921"/>
        </patternFill>
      </fill>
    </dxf>
    <dxf>
      <fill>
        <patternFill>
          <bgColor theme="4" tint="0.39997558519241921"/>
        </patternFill>
      </fill>
    </dxf>
    <dxf>
      <font>
        <color theme="1" tint="0.14999847407452621"/>
      </font>
    </dxf>
    <dxf>
      <alignment horizontal="center"/>
    </dxf>
    <dxf>
      <alignment horizontal="center"/>
    </dxf>
    <dxf>
      <font>
        <color theme="7" tint="-0.499984740745262"/>
      </font>
    </dxf>
    <dxf>
      <font>
        <color theme="7" tint="-0.499984740745262"/>
      </font>
    </dxf>
    <dxf>
      <font>
        <sz val="18"/>
      </font>
    </dxf>
    <dxf>
      <font>
        <sz val="18"/>
      </font>
    </dxf>
    <dxf>
      <alignment horizontal="center"/>
    </dxf>
    <dxf>
      <alignment horizontal="center"/>
    </dxf>
    <dxf>
      <font>
        <sz val="18"/>
      </font>
    </dxf>
    <dxf>
      <font>
        <b val="0"/>
      </font>
    </dxf>
    <dxf>
      <font>
        <color theme="7" tint="-0.499984740745262"/>
      </font>
    </dxf>
    <dxf>
      <font>
        <b/>
      </font>
    </dxf>
    <dxf>
      <font>
        <sz val="12"/>
      </font>
    </dxf>
    <dxf>
      <font>
        <b/>
      </font>
    </dxf>
    <dxf>
      <font>
        <b/>
      </font>
    </dxf>
    <dxf>
      <font>
        <color theme="0"/>
      </font>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ont>
        <color theme="1"/>
      </font>
    </dxf>
    <dxf>
      <font>
        <color theme="9" tint="-0.499984740745262"/>
      </font>
    </dxf>
    <dxf>
      <fill>
        <patternFill>
          <bgColor theme="0"/>
        </patternFill>
      </fill>
    </dxf>
    <dxf>
      <font>
        <b/>
      </font>
    </dxf>
    <dxf>
      <fill>
        <patternFill patternType="solid">
          <bgColor theme="7" tint="0.59999389629810485"/>
        </patternFill>
      </fill>
    </dxf>
    <dxf>
      <fill>
        <patternFill patternType="solid">
          <fgColor rgb="FFF6F8F9"/>
          <bgColor rgb="FFF6F8F9"/>
        </patternFill>
      </fill>
    </dxf>
    <dxf>
      <fill>
        <patternFill patternType="solid">
          <fgColor rgb="FFFFFFFF"/>
          <bgColor rgb="FFFFFFFF"/>
        </patternFill>
      </fill>
    </dxf>
    <dxf>
      <font>
        <b/>
        <color theme="1"/>
      </font>
      <border>
        <bottom style="thin">
          <color theme="4"/>
        </bottom>
        <vertical/>
        <horizontal/>
      </border>
    </dxf>
    <dxf>
      <font>
        <sz val="20"/>
        <color theme="1"/>
        <name val="Arial"/>
        <family val="2"/>
        <scheme val="major"/>
      </font>
      <border>
        <left style="thin">
          <color theme="4"/>
        </left>
        <right style="thin">
          <color theme="4"/>
        </right>
        <top style="thin">
          <color theme="4"/>
        </top>
        <bottom style="thin">
          <color theme="4"/>
        </bottom>
        <vertical/>
        <horizontal/>
      </border>
    </dxf>
    <dxf>
      <fill>
        <patternFill patternType="solid">
          <fgColor rgb="FFF6F8F9"/>
          <bgColor rgb="FFF6F8F9"/>
        </patternFill>
      </fill>
    </dxf>
    <dxf>
      <fill>
        <patternFill patternType="solid">
          <fgColor rgb="FFFFFFFF"/>
          <bgColor rgb="FFFFFFFF"/>
        </patternFill>
      </fill>
    </dxf>
    <dxf>
      <fill>
        <patternFill patternType="solid">
          <fgColor rgb="FF356854"/>
          <bgColor rgb="FF356854"/>
        </patternFill>
      </fill>
    </dxf>
    <dxf>
      <fill>
        <patternFill patternType="solid">
          <fgColor rgb="FFF6F8F9"/>
          <bgColor rgb="FFF6F8F9"/>
        </patternFill>
      </fill>
    </dxf>
    <dxf>
      <fill>
        <patternFill patternType="solid">
          <fgColor rgb="FFFFFFFF"/>
          <bgColor rgb="FFFFFFFF"/>
        </patternFill>
      </fill>
    </dxf>
    <dxf>
      <fill>
        <patternFill patternType="solid">
          <fgColor rgb="FF356854"/>
          <bgColor rgb="FF356854"/>
        </patternFill>
      </fill>
    </dxf>
  </dxfs>
  <tableStyles count="5" defaultTableStyle="TableStyleMedium2" defaultPivotStyle="PivotStyleLight16">
    <tableStyle name="Master Data Sheet-style" pivot="0" count="3" xr9:uid="{00000000-0011-0000-FFFF-FFFF00000000}">
      <tableStyleElement type="headerRow" dxfId="258"/>
      <tableStyleElement type="firstRowStripe" dxfId="257"/>
      <tableStyleElement type="secondRowStripe" dxfId="256"/>
    </tableStyle>
    <tableStyle name="cost-of-living-index-by-state-2-style" pivot="0" count="3" xr9:uid="{00000000-0011-0000-FFFF-FFFF01000000}">
      <tableStyleElement type="headerRow" dxfId="255"/>
      <tableStyleElement type="firstRowStripe" dxfId="254"/>
      <tableStyleElement type="secondRowStripe" dxfId="253"/>
    </tableStyle>
    <tableStyle name="Invisible" pivot="0" table="0" count="0" xr9:uid="{D5028B18-84A3-4366-92A8-2F74A95D580A}"/>
    <tableStyle name="SlicerStyleLight1 2" pivot="0" table="0" count="10" xr9:uid="{2E23BD59-F3E2-4AE2-9225-C64944AB577E}">
      <tableStyleElement type="wholeTable" dxfId="252"/>
      <tableStyleElement type="headerRow" dxfId="251"/>
    </tableStyle>
    <tableStyle name="Weather Statistics-style" pivot="0" count="2" xr9:uid="{00000000-0011-0000-FFFF-FFFF02000000}">
      <tableStyleElement type="firstRowStripe" dxfId="250"/>
      <tableStyleElement type="secondRowStripe" dxfId="249"/>
    </tableStyle>
  </tableStyles>
  <colors>
    <mruColors>
      <color rgb="FFCDB6E0"/>
      <color rgb="FFE9ECFD"/>
      <color rgb="FF35AD57"/>
      <color rgb="FF31A151"/>
      <color rgb="FF58CC79"/>
      <color rgb="FFFF006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1__Best place to live_ May8_1030AM_Updated.xlsm]Crime Rate Vs Safety Index!Crimevssafety</c:name>
    <c:fmtId val="27"/>
  </c:pivotSource>
  <c:chart>
    <c:title>
      <c:tx>
        <c:rich>
          <a:bodyPr rot="0" spcFirstLastPara="1" vertOverflow="ellipsis" vert="horz" wrap="square" anchor="ctr" anchorCtr="1"/>
          <a:lstStyle/>
          <a:p>
            <a:pPr algn="ctr">
              <a:defRPr sz="4000" b="0" i="0" u="none" strike="noStrike" kern="1200" spc="0" baseline="0">
                <a:solidFill>
                  <a:schemeClr val="tx1">
                    <a:lumMod val="85000"/>
                    <a:lumOff val="15000"/>
                  </a:schemeClr>
                </a:solidFill>
                <a:latin typeface="+mn-lt"/>
                <a:ea typeface="+mn-ea"/>
                <a:cs typeface="+mn-cs"/>
              </a:defRPr>
            </a:pPr>
            <a:r>
              <a:rPr lang="en-US" sz="4000" b="1">
                <a:solidFill>
                  <a:schemeClr val="tx1">
                    <a:lumMod val="85000"/>
                    <a:lumOff val="15000"/>
                  </a:schemeClr>
                </a:solidFill>
              </a:rPr>
              <a:t>Crime Rate vs Safety Index by State</a:t>
            </a:r>
          </a:p>
          <a:p>
            <a:pPr algn="ctr">
              <a:defRPr sz="4000">
                <a:solidFill>
                  <a:schemeClr val="tx1">
                    <a:lumMod val="85000"/>
                    <a:lumOff val="15000"/>
                  </a:schemeClr>
                </a:solidFill>
              </a:defRPr>
            </a:pPr>
            <a:endParaRPr lang="en-US" sz="4000">
              <a:solidFill>
                <a:schemeClr val="tx1">
                  <a:lumMod val="85000"/>
                  <a:lumOff val="15000"/>
                </a:schemeClr>
              </a:solidFill>
            </a:endParaRPr>
          </a:p>
        </c:rich>
      </c:tx>
      <c:layout>
        <c:manualLayout>
          <c:xMode val="edge"/>
          <c:yMode val="edge"/>
          <c:x val="0.26033464359174485"/>
          <c:y val="2.3118073782896299E-2"/>
        </c:manualLayout>
      </c:layout>
      <c:overlay val="0"/>
      <c:spPr>
        <a:solidFill>
          <a:schemeClr val="bg2"/>
        </a:solidFill>
        <a:ln>
          <a:noFill/>
        </a:ln>
        <a:effectLst/>
      </c:spPr>
      <c:txPr>
        <a:bodyPr rot="0" spcFirstLastPara="1" vertOverflow="ellipsis" vert="horz" wrap="square" anchor="ctr" anchorCtr="1"/>
        <a:lstStyle/>
        <a:p>
          <a:pPr algn="ctr">
            <a:defRPr sz="4000" b="0" i="0" u="none" strike="noStrike" kern="1200" spc="0" baseline="0">
              <a:solidFill>
                <a:schemeClr val="tx1">
                  <a:lumMod val="85000"/>
                  <a:lumOff val="1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4">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pivotFmt>
      <c:pivotFmt>
        <c:idx val="15"/>
        <c:spPr>
          <a:solidFill>
            <a:srgbClr val="C00000"/>
          </a:solidFill>
          <a:ln>
            <a:noFill/>
          </a:ln>
          <a:effectLst/>
        </c:spPr>
      </c:pivotFmt>
      <c:pivotFmt>
        <c:idx val="16"/>
        <c:spPr>
          <a:solidFill>
            <a:srgbClr val="C00000"/>
          </a:solidFill>
          <a:ln>
            <a:noFill/>
          </a:ln>
          <a:effectLst/>
        </c:spPr>
      </c:pivotFmt>
      <c:pivotFmt>
        <c:idx val="1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C00000"/>
          </a:solidFill>
          <a:ln>
            <a:noFill/>
          </a:ln>
          <a:effectLst/>
        </c:spPr>
      </c:pivotFmt>
      <c:pivotFmt>
        <c:idx val="19"/>
        <c:spPr>
          <a:solidFill>
            <a:srgbClr val="C00000"/>
          </a:solidFill>
          <a:ln>
            <a:noFill/>
          </a:ln>
          <a:effectLst/>
        </c:spPr>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'Crime Rate Vs Safety Index'!$D$7</c:f>
              <c:strCache>
                <c:ptCount val="1"/>
                <c:pt idx="0">
                  <c:v>Crime Rate   </c:v>
                </c:pt>
              </c:strCache>
            </c:strRef>
          </c:tx>
          <c:spPr>
            <a:solidFill>
              <a:srgbClr val="FF0000"/>
            </a:solidFill>
            <a:ln>
              <a:noFill/>
            </a:ln>
            <a:effectLst/>
          </c:spPr>
          <c:invertIfNegative val="0"/>
          <c:dPt>
            <c:idx val="7"/>
            <c:invertIfNegative val="0"/>
            <c:bubble3D val="0"/>
            <c:spPr>
              <a:solidFill>
                <a:srgbClr val="C00000"/>
              </a:solidFill>
              <a:ln>
                <a:noFill/>
              </a:ln>
              <a:effectLst/>
            </c:spPr>
            <c:extLst>
              <c:ext xmlns:c16="http://schemas.microsoft.com/office/drawing/2014/chart" uri="{C3380CC4-5D6E-409C-BE32-E72D297353CC}">
                <c16:uniqueId val="{00000001-9289-4688-810F-84B56585FCC0}"/>
              </c:ext>
            </c:extLst>
          </c:dPt>
          <c:dPt>
            <c:idx val="12"/>
            <c:invertIfNegative val="0"/>
            <c:bubble3D val="0"/>
            <c:spPr>
              <a:solidFill>
                <a:srgbClr val="C00000"/>
              </a:solidFill>
              <a:ln>
                <a:noFill/>
              </a:ln>
              <a:effectLst/>
            </c:spPr>
            <c:extLst>
              <c:ext xmlns:c16="http://schemas.microsoft.com/office/drawing/2014/chart" uri="{C3380CC4-5D6E-409C-BE32-E72D297353CC}">
                <c16:uniqueId val="{00000003-9289-4688-810F-84B56585FCC0}"/>
              </c:ext>
            </c:extLst>
          </c:dPt>
          <c:cat>
            <c:strRef>
              <c:f>'Crime Rate Vs Safety Index'!$B$8:$B$21</c:f>
              <c:strCache>
                <c:ptCount val="14"/>
                <c:pt idx="0">
                  <c:v>New Hampshire</c:v>
                </c:pt>
                <c:pt idx="1">
                  <c:v>Maine</c:v>
                </c:pt>
                <c:pt idx="2">
                  <c:v>Rhode Island</c:v>
                </c:pt>
                <c:pt idx="3">
                  <c:v>Massachusetts</c:v>
                </c:pt>
                <c:pt idx="4">
                  <c:v>Connecticut</c:v>
                </c:pt>
                <c:pt idx="5">
                  <c:v>New Jersey</c:v>
                </c:pt>
                <c:pt idx="6">
                  <c:v>Florida</c:v>
                </c:pt>
                <c:pt idx="7">
                  <c:v>Virginia</c:v>
                </c:pt>
                <c:pt idx="8">
                  <c:v>Georgia</c:v>
                </c:pt>
                <c:pt idx="9">
                  <c:v>New York</c:v>
                </c:pt>
                <c:pt idx="10">
                  <c:v>Delaware</c:v>
                </c:pt>
                <c:pt idx="11">
                  <c:v>North Carolina</c:v>
                </c:pt>
                <c:pt idx="12">
                  <c:v>Maryland</c:v>
                </c:pt>
                <c:pt idx="13">
                  <c:v>South Carolina</c:v>
                </c:pt>
              </c:strCache>
            </c:strRef>
          </c:cat>
          <c:val>
            <c:numRef>
              <c:f>'Crime Rate Vs Safety Index'!$D$8:$D$21</c:f>
              <c:numCache>
                <c:formatCode>General</c:formatCode>
                <c:ptCount val="14"/>
                <c:pt idx="0">
                  <c:v>996</c:v>
                </c:pt>
                <c:pt idx="1">
                  <c:v>1220</c:v>
                </c:pt>
                <c:pt idx="2">
                  <c:v>1290</c:v>
                </c:pt>
                <c:pt idx="3">
                  <c:v>1410</c:v>
                </c:pt>
                <c:pt idx="4">
                  <c:v>1710</c:v>
                </c:pt>
                <c:pt idx="5">
                  <c:v>1740</c:v>
                </c:pt>
                <c:pt idx="6">
                  <c:v>1810</c:v>
                </c:pt>
                <c:pt idx="7">
                  <c:v>1890</c:v>
                </c:pt>
                <c:pt idx="8">
                  <c:v>2180</c:v>
                </c:pt>
                <c:pt idx="9">
                  <c:v>2190</c:v>
                </c:pt>
                <c:pt idx="10">
                  <c:v>2260</c:v>
                </c:pt>
                <c:pt idx="11">
                  <c:v>2460</c:v>
                </c:pt>
                <c:pt idx="12">
                  <c:v>2500</c:v>
                </c:pt>
                <c:pt idx="13">
                  <c:v>2660</c:v>
                </c:pt>
              </c:numCache>
            </c:numRef>
          </c:val>
          <c:extLst>
            <c:ext xmlns:c16="http://schemas.microsoft.com/office/drawing/2014/chart" uri="{C3380CC4-5D6E-409C-BE32-E72D297353CC}">
              <c16:uniqueId val="{0000000A-9A5A-4BF9-961B-E10F05FD66BA}"/>
            </c:ext>
          </c:extLst>
        </c:ser>
        <c:dLbls>
          <c:showLegendKey val="0"/>
          <c:showVal val="0"/>
          <c:showCatName val="0"/>
          <c:showSerName val="0"/>
          <c:showPercent val="0"/>
          <c:showBubbleSize val="0"/>
        </c:dLbls>
        <c:gapWidth val="219"/>
        <c:axId val="412226112"/>
        <c:axId val="412228032"/>
      </c:barChart>
      <c:lineChart>
        <c:grouping val="stacked"/>
        <c:varyColors val="0"/>
        <c:ser>
          <c:idx val="0"/>
          <c:order val="0"/>
          <c:tx>
            <c:strRef>
              <c:f>'Crime Rate Vs Safety Index'!$C$7</c:f>
              <c:strCache>
                <c:ptCount val="1"/>
                <c:pt idx="0">
                  <c:v>Safety Index </c:v>
                </c:pt>
              </c:strCache>
            </c:strRef>
          </c:tx>
          <c:spPr>
            <a:ln w="28575" cap="rnd">
              <a:solidFill>
                <a:schemeClr val="accent1"/>
              </a:solidFill>
              <a:round/>
            </a:ln>
            <a:effectLst/>
          </c:spPr>
          <c:marker>
            <c:symbol val="none"/>
          </c:marker>
          <c:cat>
            <c:strRef>
              <c:f>'Crime Rate Vs Safety Index'!$B$8:$B$21</c:f>
              <c:strCache>
                <c:ptCount val="14"/>
                <c:pt idx="0">
                  <c:v>New Hampshire</c:v>
                </c:pt>
                <c:pt idx="1">
                  <c:v>Maine</c:v>
                </c:pt>
                <c:pt idx="2">
                  <c:v>Rhode Island</c:v>
                </c:pt>
                <c:pt idx="3">
                  <c:v>Massachusetts</c:v>
                </c:pt>
                <c:pt idx="4">
                  <c:v>Connecticut</c:v>
                </c:pt>
                <c:pt idx="5">
                  <c:v>New Jersey</c:v>
                </c:pt>
                <c:pt idx="6">
                  <c:v>Florida</c:v>
                </c:pt>
                <c:pt idx="7">
                  <c:v>Virginia</c:v>
                </c:pt>
                <c:pt idx="8">
                  <c:v>Georgia</c:v>
                </c:pt>
                <c:pt idx="9">
                  <c:v>New York</c:v>
                </c:pt>
                <c:pt idx="10">
                  <c:v>Delaware</c:v>
                </c:pt>
                <c:pt idx="11">
                  <c:v>North Carolina</c:v>
                </c:pt>
                <c:pt idx="12">
                  <c:v>Maryland</c:v>
                </c:pt>
                <c:pt idx="13">
                  <c:v>South Carolina</c:v>
                </c:pt>
              </c:strCache>
            </c:strRef>
          </c:cat>
          <c:val>
            <c:numRef>
              <c:f>'Crime Rate Vs Safety Index'!$C$8:$C$21</c:f>
              <c:numCache>
                <c:formatCode>General</c:formatCode>
                <c:ptCount val="14"/>
                <c:pt idx="0">
                  <c:v>65.58</c:v>
                </c:pt>
                <c:pt idx="1">
                  <c:v>64.19</c:v>
                </c:pt>
                <c:pt idx="2">
                  <c:v>57.45</c:v>
                </c:pt>
                <c:pt idx="3">
                  <c:v>63.59</c:v>
                </c:pt>
                <c:pt idx="4">
                  <c:v>59.51</c:v>
                </c:pt>
                <c:pt idx="5">
                  <c:v>53.28</c:v>
                </c:pt>
                <c:pt idx="6">
                  <c:v>37.659999999999997</c:v>
                </c:pt>
                <c:pt idx="7">
                  <c:v>54.19</c:v>
                </c:pt>
                <c:pt idx="8">
                  <c:v>42.92</c:v>
                </c:pt>
                <c:pt idx="9">
                  <c:v>51.27</c:v>
                </c:pt>
                <c:pt idx="10">
                  <c:v>52.84</c:v>
                </c:pt>
                <c:pt idx="11">
                  <c:v>51.5</c:v>
                </c:pt>
                <c:pt idx="12">
                  <c:v>53.87</c:v>
                </c:pt>
                <c:pt idx="13">
                  <c:v>43.32</c:v>
                </c:pt>
              </c:numCache>
            </c:numRef>
          </c:val>
          <c:smooth val="0"/>
          <c:extLst>
            <c:ext xmlns:c16="http://schemas.microsoft.com/office/drawing/2014/chart" uri="{C3380CC4-5D6E-409C-BE32-E72D297353CC}">
              <c16:uniqueId val="{00000009-9A5A-4BF9-961B-E10F05FD66BA}"/>
            </c:ext>
          </c:extLst>
        </c:ser>
        <c:dLbls>
          <c:showLegendKey val="0"/>
          <c:showVal val="0"/>
          <c:showCatName val="0"/>
          <c:showSerName val="0"/>
          <c:showPercent val="0"/>
          <c:showBubbleSize val="0"/>
        </c:dLbls>
        <c:marker val="1"/>
        <c:smooth val="0"/>
        <c:axId val="150570880"/>
        <c:axId val="150553600"/>
      </c:lineChart>
      <c:valAx>
        <c:axId val="412228032"/>
        <c:scaling>
          <c:orientation val="minMax"/>
        </c:scaling>
        <c:delete val="0"/>
        <c:axPos val="r"/>
        <c:numFmt formatCode="General" sourceLinked="1"/>
        <c:majorTickMark val="none"/>
        <c:minorTickMark val="none"/>
        <c:tickLblPos val="nextTo"/>
        <c:spPr>
          <a:solidFill>
            <a:schemeClr val="bg1"/>
          </a:solidFill>
          <a:ln>
            <a:solidFill>
              <a:schemeClr val="accent4">
                <a:lumMod val="50000"/>
              </a:schemeClr>
            </a:solidFill>
          </a:ln>
          <a:effectLst/>
        </c:spPr>
        <c:txPr>
          <a:bodyPr rot="-60000000" spcFirstLastPara="1" vertOverflow="ellipsis" vert="horz" wrap="square" anchor="ctr" anchorCtr="1"/>
          <a:lstStyle/>
          <a:p>
            <a:pPr>
              <a:defRPr sz="2400" b="1" i="0" u="none" strike="noStrike" kern="1200" baseline="0">
                <a:solidFill>
                  <a:schemeClr val="tx1">
                    <a:lumMod val="85000"/>
                    <a:lumOff val="15000"/>
                  </a:schemeClr>
                </a:solidFill>
                <a:latin typeface="+mn-lt"/>
                <a:ea typeface="+mn-ea"/>
                <a:cs typeface="+mn-cs"/>
              </a:defRPr>
            </a:pPr>
            <a:endParaRPr lang="en-US"/>
          </a:p>
        </c:txPr>
        <c:crossAx val="412226112"/>
        <c:crosses val="max"/>
        <c:crossBetween val="between"/>
      </c:valAx>
      <c:catAx>
        <c:axId val="41222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412228032"/>
        <c:crosses val="autoZero"/>
        <c:auto val="1"/>
        <c:lblAlgn val="ctr"/>
        <c:lblOffset val="100"/>
        <c:noMultiLvlLbl val="0"/>
      </c:catAx>
      <c:valAx>
        <c:axId val="1505536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85000"/>
                    <a:lumOff val="15000"/>
                  </a:schemeClr>
                </a:solidFill>
                <a:latin typeface="+mn-lt"/>
                <a:ea typeface="+mn-ea"/>
                <a:cs typeface="+mn-cs"/>
              </a:defRPr>
            </a:pPr>
            <a:endParaRPr lang="en-US"/>
          </a:p>
        </c:txPr>
        <c:crossAx val="150570880"/>
        <c:crosses val="autoZero"/>
        <c:crossBetween val="between"/>
      </c:valAx>
      <c:catAx>
        <c:axId val="150570880"/>
        <c:scaling>
          <c:orientation val="minMax"/>
        </c:scaling>
        <c:delete val="1"/>
        <c:axPos val="b"/>
        <c:numFmt formatCode="General" sourceLinked="1"/>
        <c:majorTickMark val="out"/>
        <c:minorTickMark val="none"/>
        <c:tickLblPos val="nextTo"/>
        <c:crossAx val="150553600"/>
        <c:crosses val="autoZero"/>
        <c:auto val="1"/>
        <c:lblAlgn val="ctr"/>
        <c:lblOffset val="100"/>
        <c:noMultiLvlLbl val="0"/>
      </c:catAx>
      <c:spPr>
        <a:solidFill>
          <a:schemeClr val="accent1">
            <a:lumMod val="20000"/>
            <a:lumOff val="80000"/>
          </a:schemeClr>
        </a:solidFill>
        <a:ln>
          <a:noFill/>
        </a:ln>
        <a:effectLst/>
      </c:spPr>
    </c:plotArea>
    <c:legend>
      <c:legendPos val="b"/>
      <c:layout>
        <c:manualLayout>
          <c:xMode val="edge"/>
          <c:yMode val="edge"/>
          <c:x val="0.11497830613337175"/>
          <c:y val="0.94077699142547966"/>
          <c:w val="0.66431381215958318"/>
          <c:h val="5.9223008574520307E-2"/>
        </c:manualLayout>
      </c:layout>
      <c:overlay val="0"/>
      <c:spPr>
        <a:noFill/>
        <a:ln>
          <a:noFill/>
        </a:ln>
        <a:effectLst/>
      </c:spPr>
      <c:txPr>
        <a:bodyPr rot="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sz="20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[Group 1__Best place to live_ May8_1030AM_Updated.xlsm]Master Data Sheet!Education</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4000" b="1" i="0" u="none" strike="noStrike" kern="1200" spc="0" baseline="0">
                <a:solidFill>
                  <a:schemeClr val="tx1">
                    <a:lumMod val="85000"/>
                    <a:lumOff val="15000"/>
                  </a:schemeClr>
                </a:solidFill>
                <a:latin typeface="+mn-lt"/>
                <a:ea typeface="+mn-ea"/>
                <a:cs typeface="+mn-cs"/>
              </a:defRPr>
            </a:pPr>
            <a:r>
              <a:rPr lang="en-US" sz="4000" b="1" i="0" u="none" strike="noStrike" kern="1200" spc="0" baseline="0">
                <a:solidFill>
                  <a:schemeClr val="tx1">
                    <a:lumMod val="85000"/>
                    <a:lumOff val="15000"/>
                  </a:schemeClr>
                </a:solidFill>
              </a:rPr>
              <a:t>Education Index by State</a:t>
            </a:r>
          </a:p>
        </c:rich>
      </c:tx>
      <c:layout>
        <c:manualLayout>
          <c:xMode val="edge"/>
          <c:yMode val="edge"/>
          <c:x val="0.42482813124983521"/>
          <c:y val="2.7796364450911114E-2"/>
        </c:manualLayout>
      </c:layout>
      <c:overlay val="0"/>
      <c:spPr>
        <a:solidFill>
          <a:schemeClr val="bg2"/>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4000" b="1" i="0" u="none" strike="noStrike" kern="1200" spc="0" baseline="0">
              <a:solidFill>
                <a:schemeClr val="tx1">
                  <a:lumMod val="85000"/>
                  <a:lumOff val="1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'Master Data Sheet'!$B$19</c:f>
              <c:strCache>
                <c:ptCount val="1"/>
                <c:pt idx="0">
                  <c:v>Total</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 Data Sheet'!$A$20:$A$33</c:f>
              <c:strCache>
                <c:ptCount val="14"/>
                <c:pt idx="0">
                  <c:v>Massachusetts</c:v>
                </c:pt>
                <c:pt idx="1">
                  <c:v>Connecticut</c:v>
                </c:pt>
                <c:pt idx="2">
                  <c:v>Maryland</c:v>
                </c:pt>
                <c:pt idx="3">
                  <c:v>New Jersey</c:v>
                </c:pt>
                <c:pt idx="4">
                  <c:v>New Hampshire</c:v>
                </c:pt>
                <c:pt idx="5">
                  <c:v>New York</c:v>
                </c:pt>
                <c:pt idx="6">
                  <c:v>Virginia</c:v>
                </c:pt>
                <c:pt idx="7">
                  <c:v>Florida</c:v>
                </c:pt>
                <c:pt idx="8">
                  <c:v>Delaware</c:v>
                </c:pt>
                <c:pt idx="9">
                  <c:v>Maine</c:v>
                </c:pt>
                <c:pt idx="10">
                  <c:v>Rhode Island</c:v>
                </c:pt>
                <c:pt idx="11">
                  <c:v>North Carolina</c:v>
                </c:pt>
                <c:pt idx="12">
                  <c:v>Georgia</c:v>
                </c:pt>
                <c:pt idx="13">
                  <c:v>South Carolina</c:v>
                </c:pt>
              </c:strCache>
            </c:strRef>
          </c:cat>
          <c:val>
            <c:numRef>
              <c:f>'Master Data Sheet'!$B$20:$B$33</c:f>
              <c:numCache>
                <c:formatCode>General</c:formatCode>
                <c:ptCount val="14"/>
                <c:pt idx="0">
                  <c:v>74.36</c:v>
                </c:pt>
                <c:pt idx="1">
                  <c:v>67.06</c:v>
                </c:pt>
                <c:pt idx="2">
                  <c:v>63.6</c:v>
                </c:pt>
                <c:pt idx="3">
                  <c:v>63.45</c:v>
                </c:pt>
                <c:pt idx="4">
                  <c:v>60.07</c:v>
                </c:pt>
                <c:pt idx="5">
                  <c:v>58.25</c:v>
                </c:pt>
                <c:pt idx="6">
                  <c:v>57.81</c:v>
                </c:pt>
                <c:pt idx="7">
                  <c:v>57.33</c:v>
                </c:pt>
                <c:pt idx="8">
                  <c:v>56.69</c:v>
                </c:pt>
                <c:pt idx="9">
                  <c:v>55.71</c:v>
                </c:pt>
                <c:pt idx="10">
                  <c:v>54.81</c:v>
                </c:pt>
                <c:pt idx="11">
                  <c:v>48.04</c:v>
                </c:pt>
                <c:pt idx="12">
                  <c:v>47.42</c:v>
                </c:pt>
                <c:pt idx="13">
                  <c:v>42.92</c:v>
                </c:pt>
              </c:numCache>
            </c:numRef>
          </c:val>
          <c:extLst>
            <c:ext xmlns:c16="http://schemas.microsoft.com/office/drawing/2014/chart" uri="{C3380CC4-5D6E-409C-BE32-E72D297353CC}">
              <c16:uniqueId val="{00000003-67CB-4ACE-BBA4-B4556BF484EB}"/>
            </c:ext>
          </c:extLst>
        </c:ser>
        <c:dLbls>
          <c:dLblPos val="outEnd"/>
          <c:showLegendKey val="0"/>
          <c:showVal val="1"/>
          <c:showCatName val="0"/>
          <c:showSerName val="0"/>
          <c:showPercent val="0"/>
          <c:showBubbleSize val="0"/>
        </c:dLbls>
        <c:gapWidth val="219"/>
        <c:overlap val="-27"/>
        <c:axId val="519532719"/>
        <c:axId val="519534639"/>
      </c:barChart>
      <c:catAx>
        <c:axId val="519532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85000"/>
                    <a:lumOff val="15000"/>
                  </a:schemeClr>
                </a:solidFill>
                <a:latin typeface="+mn-lt"/>
                <a:ea typeface="+mn-ea"/>
                <a:cs typeface="+mn-cs"/>
              </a:defRPr>
            </a:pPr>
            <a:endParaRPr lang="en-US"/>
          </a:p>
        </c:txPr>
        <c:crossAx val="519534639"/>
        <c:crosses val="autoZero"/>
        <c:auto val="1"/>
        <c:lblAlgn val="ctr"/>
        <c:lblOffset val="100"/>
        <c:noMultiLvlLbl val="0"/>
      </c:catAx>
      <c:valAx>
        <c:axId val="5195346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85000"/>
                    <a:lumOff val="15000"/>
                  </a:schemeClr>
                </a:solidFill>
                <a:latin typeface="+mn-lt"/>
                <a:ea typeface="+mn-ea"/>
                <a:cs typeface="+mn-cs"/>
              </a:defRPr>
            </a:pPr>
            <a:endParaRPr lang="en-US"/>
          </a:p>
        </c:txPr>
        <c:crossAx val="519532719"/>
        <c:crosses val="autoZero"/>
        <c:crossBetween val="between"/>
      </c:valAx>
      <c:spPr>
        <a:solidFill>
          <a:schemeClr val="accent1">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[Group 1__Best place to live_ May8_1030AM_Updated.xlsm]Master Data Sheet!Housingindexvscol</c:name>
    <c:fmtId val="7"/>
  </c:pivotSource>
  <c:chart>
    <c:title>
      <c:tx>
        <c:rich>
          <a:bodyPr rot="0" spcFirstLastPara="1" vertOverflow="ellipsis" vert="horz" wrap="square" anchor="ctr" anchorCtr="1"/>
          <a:lstStyle/>
          <a:p>
            <a:pPr>
              <a:defRPr sz="2400" b="1" i="0" u="none" strike="noStrike" kern="1200" spc="0" baseline="0">
                <a:solidFill>
                  <a:schemeClr val="tx1">
                    <a:lumMod val="85000"/>
                    <a:lumOff val="15000"/>
                  </a:schemeClr>
                </a:solidFill>
                <a:latin typeface="+mn-lt"/>
                <a:ea typeface="+mn-ea"/>
                <a:cs typeface="+mn-cs"/>
              </a:defRPr>
            </a:pPr>
            <a:r>
              <a:rPr lang="en-US" sz="3600" b="1" i="0" u="none" strike="noStrike" kern="1200" spc="0" baseline="0">
                <a:solidFill>
                  <a:schemeClr val="tx1">
                    <a:lumMod val="85000"/>
                    <a:lumOff val="15000"/>
                  </a:schemeClr>
                </a:solidFill>
              </a:rPr>
              <a:t>Housing Share of Total Cost of Living</a:t>
            </a:r>
          </a:p>
        </c:rich>
      </c:tx>
      <c:layout>
        <c:manualLayout>
          <c:xMode val="edge"/>
          <c:yMode val="edge"/>
          <c:x val="5.8557814690971849E-2"/>
          <c:y val="1.7119555373177883E-2"/>
        </c:manualLayout>
      </c:layout>
      <c:overlay val="0"/>
      <c:spPr>
        <a:solidFill>
          <a:schemeClr val="bg2"/>
        </a:solidFill>
        <a:ln>
          <a:noFill/>
        </a:ln>
        <a:effectLst/>
      </c:spPr>
      <c:txPr>
        <a:bodyPr rot="0" spcFirstLastPara="1" vertOverflow="ellipsis" vert="horz" wrap="square" anchor="ctr" anchorCtr="1"/>
        <a:lstStyle/>
        <a:p>
          <a:pPr>
            <a:defRPr sz="2400" b="1" i="0" u="none" strike="noStrike" kern="1200" spc="0" baseline="0">
              <a:solidFill>
                <a:schemeClr val="tx1">
                  <a:lumMod val="85000"/>
                  <a:lumOff val="1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percentStacked"/>
        <c:varyColors val="0"/>
        <c:ser>
          <c:idx val="0"/>
          <c:order val="0"/>
          <c:tx>
            <c:strRef>
              <c:f>'Master Data Sheet'!$E$19</c:f>
              <c:strCache>
                <c:ptCount val="1"/>
                <c:pt idx="0">
                  <c:v>Housing index </c:v>
                </c:pt>
              </c:strCache>
            </c:strRef>
          </c:tx>
          <c:spPr>
            <a:solidFill>
              <a:schemeClr val="accent1">
                <a:shade val="76000"/>
              </a:schemeClr>
            </a:solidFill>
            <a:ln w="25400">
              <a:noFill/>
            </a:ln>
            <a:effectLst/>
          </c:spPr>
          <c:cat>
            <c:strRef>
              <c:f>'Master Data Sheet'!$D$20:$D$33</c:f>
              <c:strCache>
                <c:ptCount val="14"/>
                <c:pt idx="0">
                  <c:v>Connecticut</c:v>
                </c:pt>
                <c:pt idx="1">
                  <c:v>Delaware</c:v>
                </c:pt>
                <c:pt idx="2">
                  <c:v>Florida</c:v>
                </c:pt>
                <c:pt idx="3">
                  <c:v>Georgia</c:v>
                </c:pt>
                <c:pt idx="4">
                  <c:v>Maine</c:v>
                </c:pt>
                <c:pt idx="5">
                  <c:v>Maryland</c:v>
                </c:pt>
                <c:pt idx="6">
                  <c:v>Massachusetts</c:v>
                </c:pt>
                <c:pt idx="7">
                  <c:v>New Hampshire</c:v>
                </c:pt>
                <c:pt idx="8">
                  <c:v>New Jersey</c:v>
                </c:pt>
                <c:pt idx="9">
                  <c:v>New York</c:v>
                </c:pt>
                <c:pt idx="10">
                  <c:v>North Carolina</c:v>
                </c:pt>
                <c:pt idx="11">
                  <c:v>Rhode Island</c:v>
                </c:pt>
                <c:pt idx="12">
                  <c:v>South Carolina</c:v>
                </c:pt>
                <c:pt idx="13">
                  <c:v>Virginia</c:v>
                </c:pt>
              </c:strCache>
            </c:strRef>
          </c:cat>
          <c:val>
            <c:numRef>
              <c:f>'Master Data Sheet'!$E$20:$E$33</c:f>
              <c:numCache>
                <c:formatCode>General</c:formatCode>
                <c:ptCount val="14"/>
                <c:pt idx="0">
                  <c:v>117.2</c:v>
                </c:pt>
                <c:pt idx="1">
                  <c:v>97.4</c:v>
                </c:pt>
                <c:pt idx="2">
                  <c:v>108.1</c:v>
                </c:pt>
                <c:pt idx="3">
                  <c:v>79.2</c:v>
                </c:pt>
                <c:pt idx="4">
                  <c:v>128.69999999999999</c:v>
                </c:pt>
                <c:pt idx="5">
                  <c:v>135.80000000000001</c:v>
                </c:pt>
                <c:pt idx="6">
                  <c:v>218.8</c:v>
                </c:pt>
                <c:pt idx="7">
                  <c:v>117.5</c:v>
                </c:pt>
                <c:pt idx="8">
                  <c:v>136.9</c:v>
                </c:pt>
                <c:pt idx="9">
                  <c:v>168</c:v>
                </c:pt>
                <c:pt idx="10">
                  <c:v>93.3</c:v>
                </c:pt>
                <c:pt idx="11">
                  <c:v>113.4</c:v>
                </c:pt>
                <c:pt idx="12">
                  <c:v>86.7</c:v>
                </c:pt>
                <c:pt idx="13">
                  <c:v>104.5</c:v>
                </c:pt>
              </c:numCache>
            </c:numRef>
          </c:val>
          <c:extLst>
            <c:ext xmlns:c16="http://schemas.microsoft.com/office/drawing/2014/chart" uri="{C3380CC4-5D6E-409C-BE32-E72D297353CC}">
              <c16:uniqueId val="{00000005-9FB2-4A89-941D-DB90924C217D}"/>
            </c:ext>
          </c:extLst>
        </c:ser>
        <c:ser>
          <c:idx val="1"/>
          <c:order val="1"/>
          <c:tx>
            <c:strRef>
              <c:f>'Master Data Sheet'!$F$19</c:f>
              <c:strCache>
                <c:ptCount val="1"/>
                <c:pt idx="0">
                  <c:v>Cost of Living </c:v>
                </c:pt>
              </c:strCache>
            </c:strRef>
          </c:tx>
          <c:spPr>
            <a:solidFill>
              <a:schemeClr val="accent1">
                <a:tint val="77000"/>
              </a:schemeClr>
            </a:solidFill>
            <a:ln w="25400">
              <a:noFill/>
            </a:ln>
            <a:effectLst/>
          </c:spPr>
          <c:cat>
            <c:strRef>
              <c:f>'Master Data Sheet'!$D$20:$D$33</c:f>
              <c:strCache>
                <c:ptCount val="14"/>
                <c:pt idx="0">
                  <c:v>Connecticut</c:v>
                </c:pt>
                <c:pt idx="1">
                  <c:v>Delaware</c:v>
                </c:pt>
                <c:pt idx="2">
                  <c:v>Florida</c:v>
                </c:pt>
                <c:pt idx="3">
                  <c:v>Georgia</c:v>
                </c:pt>
                <c:pt idx="4">
                  <c:v>Maine</c:v>
                </c:pt>
                <c:pt idx="5">
                  <c:v>Maryland</c:v>
                </c:pt>
                <c:pt idx="6">
                  <c:v>Massachusetts</c:v>
                </c:pt>
                <c:pt idx="7">
                  <c:v>New Hampshire</c:v>
                </c:pt>
                <c:pt idx="8">
                  <c:v>New Jersey</c:v>
                </c:pt>
                <c:pt idx="9">
                  <c:v>New York</c:v>
                </c:pt>
                <c:pt idx="10">
                  <c:v>North Carolina</c:v>
                </c:pt>
                <c:pt idx="11">
                  <c:v>Rhode Island</c:v>
                </c:pt>
                <c:pt idx="12">
                  <c:v>South Carolina</c:v>
                </c:pt>
                <c:pt idx="13">
                  <c:v>Virginia</c:v>
                </c:pt>
              </c:strCache>
            </c:strRef>
          </c:cat>
          <c:val>
            <c:numRef>
              <c:f>'Master Data Sheet'!$F$20:$F$33</c:f>
              <c:numCache>
                <c:formatCode>General</c:formatCode>
                <c:ptCount val="14"/>
                <c:pt idx="0">
                  <c:v>112.3</c:v>
                </c:pt>
                <c:pt idx="1">
                  <c:v>100.8</c:v>
                </c:pt>
                <c:pt idx="2">
                  <c:v>102.8</c:v>
                </c:pt>
                <c:pt idx="3">
                  <c:v>91.3</c:v>
                </c:pt>
                <c:pt idx="4">
                  <c:v>112.1</c:v>
                </c:pt>
                <c:pt idx="5">
                  <c:v>115.3</c:v>
                </c:pt>
                <c:pt idx="6">
                  <c:v>145.9</c:v>
                </c:pt>
                <c:pt idx="7">
                  <c:v>112.6</c:v>
                </c:pt>
                <c:pt idx="8">
                  <c:v>114.6</c:v>
                </c:pt>
                <c:pt idx="9">
                  <c:v>123.3</c:v>
                </c:pt>
                <c:pt idx="10">
                  <c:v>97.8</c:v>
                </c:pt>
                <c:pt idx="11">
                  <c:v>112.2</c:v>
                </c:pt>
                <c:pt idx="12">
                  <c:v>95.9</c:v>
                </c:pt>
                <c:pt idx="13">
                  <c:v>100.7</c:v>
                </c:pt>
              </c:numCache>
            </c:numRef>
          </c:val>
          <c:extLst>
            <c:ext xmlns:c16="http://schemas.microsoft.com/office/drawing/2014/chart" uri="{C3380CC4-5D6E-409C-BE32-E72D297353CC}">
              <c16:uniqueId val="{00000006-9FB2-4A89-941D-DB90924C217D}"/>
            </c:ext>
          </c:extLst>
        </c:ser>
        <c:dLbls>
          <c:showLegendKey val="0"/>
          <c:showVal val="0"/>
          <c:showCatName val="0"/>
          <c:showSerName val="0"/>
          <c:showPercent val="0"/>
          <c:showBubbleSize val="0"/>
        </c:dLbls>
        <c:axId val="1795284895"/>
        <c:axId val="1795284415"/>
      </c:areaChart>
      <c:catAx>
        <c:axId val="179528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1795284415"/>
        <c:crosses val="autoZero"/>
        <c:auto val="1"/>
        <c:lblAlgn val="ctr"/>
        <c:lblOffset val="100"/>
        <c:noMultiLvlLbl val="0"/>
      </c:catAx>
      <c:valAx>
        <c:axId val="1795284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85000"/>
                    <a:lumOff val="15000"/>
                  </a:schemeClr>
                </a:solidFill>
                <a:latin typeface="+mn-lt"/>
                <a:ea typeface="+mn-ea"/>
                <a:cs typeface="+mn-cs"/>
              </a:defRPr>
            </a:pPr>
            <a:endParaRPr lang="en-US"/>
          </a:p>
        </c:txPr>
        <c:crossAx val="1795284895"/>
        <c:crosses val="autoZero"/>
        <c:crossBetween val="midCat"/>
      </c:valAx>
      <c:spPr>
        <a:noFill/>
        <a:ln>
          <a:noFill/>
        </a:ln>
        <a:effectLst/>
      </c:spPr>
    </c:plotArea>
    <c:legend>
      <c:legendPos val="t"/>
      <c:layout>
        <c:manualLayout>
          <c:xMode val="edge"/>
          <c:yMode val="edge"/>
          <c:x val="0.54347826555927092"/>
          <c:y val="1.6341866808236245E-2"/>
          <c:w val="0.37842352835479914"/>
          <c:h val="7.0349440703545471E-2"/>
        </c:manualLayout>
      </c:layout>
      <c:overlay val="0"/>
      <c:spPr>
        <a:solidFill>
          <a:schemeClr val="bg2"/>
        </a:solid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1__Best place to live_ May8_1030AM_Updated.xlsm]Master Data Sheet!AvgRent</c:name>
    <c:fmtId val="6"/>
  </c:pivotSource>
  <c:chart>
    <c:title>
      <c:tx>
        <c:rich>
          <a:bodyPr rot="0" spcFirstLastPara="1" vertOverflow="ellipsis" vert="horz" wrap="square" anchor="ctr" anchorCtr="1"/>
          <a:lstStyle/>
          <a:p>
            <a:pPr algn="ctr" rtl="0">
              <a:defRPr sz="4000" b="1" i="0" u="none" strike="noStrike" kern="1200" spc="0" baseline="0">
                <a:solidFill>
                  <a:schemeClr val="tx1">
                    <a:lumMod val="85000"/>
                    <a:lumOff val="15000"/>
                  </a:schemeClr>
                </a:solidFill>
                <a:latin typeface="+mn-lt"/>
                <a:ea typeface="+mn-ea"/>
                <a:cs typeface="+mn-cs"/>
              </a:defRPr>
            </a:pPr>
            <a:r>
              <a:rPr lang="en-US" sz="4000">
                <a:solidFill>
                  <a:schemeClr val="tx1">
                    <a:lumMod val="85000"/>
                    <a:lumOff val="15000"/>
                  </a:schemeClr>
                </a:solidFill>
              </a:rPr>
              <a:t>Average Rent by State</a:t>
            </a:r>
          </a:p>
        </c:rich>
      </c:tx>
      <c:layout>
        <c:manualLayout>
          <c:xMode val="edge"/>
          <c:yMode val="edge"/>
          <c:x val="0.16276988617628826"/>
          <c:y val="7.1811328521011351E-3"/>
        </c:manualLayout>
      </c:layout>
      <c:overlay val="0"/>
      <c:spPr>
        <a:solidFill>
          <a:schemeClr val="bg2"/>
        </a:solidFill>
        <a:ln>
          <a:noFill/>
        </a:ln>
        <a:effectLst/>
      </c:spPr>
      <c:txPr>
        <a:bodyPr rot="0" spcFirstLastPara="1" vertOverflow="ellipsis" vert="horz" wrap="square" anchor="ctr" anchorCtr="1"/>
        <a:lstStyle/>
        <a:p>
          <a:pPr algn="ctr" rtl="0">
            <a:defRPr sz="4000" b="1" i="0" u="none" strike="noStrike" kern="1200" spc="0" baseline="0">
              <a:solidFill>
                <a:schemeClr val="tx1">
                  <a:lumMod val="85000"/>
                  <a:lumOff val="1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numFmt formatCode="&quot;$&quot;#,##0" sourceLinked="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12996218939372"/>
          <c:y val="6.6709390118009013E-2"/>
          <c:w val="0.85275454507962689"/>
          <c:h val="0.92648997024472202"/>
        </c:manualLayout>
      </c:layout>
      <c:barChart>
        <c:barDir val="bar"/>
        <c:grouping val="clustered"/>
        <c:varyColors val="0"/>
        <c:ser>
          <c:idx val="0"/>
          <c:order val="0"/>
          <c:tx>
            <c:strRef>
              <c:f>'Master Data Sheet'!$I$19</c:f>
              <c:strCache>
                <c:ptCount val="1"/>
                <c:pt idx="0">
                  <c:v>Total</c:v>
                </c:pt>
              </c:strCache>
            </c:strRef>
          </c:tx>
          <c:spPr>
            <a:solidFill>
              <a:schemeClr val="accent1">
                <a:lumMod val="75000"/>
              </a:schemeClr>
            </a:solidFill>
            <a:ln>
              <a:noFill/>
            </a:ln>
            <a:effectLst/>
          </c:spPr>
          <c:invertIfNegative val="0"/>
          <c:dLbls>
            <c:numFmt formatCode="&quot;$&quot;#,##0" sourceLinked="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 Data Sheet'!$H$20:$H$33</c:f>
              <c:strCache>
                <c:ptCount val="14"/>
                <c:pt idx="0">
                  <c:v>North Carolina</c:v>
                </c:pt>
                <c:pt idx="1">
                  <c:v>South Carolina</c:v>
                </c:pt>
                <c:pt idx="2">
                  <c:v>Georgia</c:v>
                </c:pt>
                <c:pt idx="3">
                  <c:v>Delaware</c:v>
                </c:pt>
                <c:pt idx="4">
                  <c:v>Maryland</c:v>
                </c:pt>
                <c:pt idx="5">
                  <c:v>Florida</c:v>
                </c:pt>
                <c:pt idx="6">
                  <c:v>Maine</c:v>
                </c:pt>
                <c:pt idx="7">
                  <c:v>Virginia</c:v>
                </c:pt>
                <c:pt idx="8">
                  <c:v>Connecticut</c:v>
                </c:pt>
                <c:pt idx="9">
                  <c:v>New Hampshire</c:v>
                </c:pt>
                <c:pt idx="10">
                  <c:v>Rhode Island</c:v>
                </c:pt>
                <c:pt idx="11">
                  <c:v>New Jersey</c:v>
                </c:pt>
                <c:pt idx="12">
                  <c:v>New York</c:v>
                </c:pt>
                <c:pt idx="13">
                  <c:v>Massachusetts</c:v>
                </c:pt>
              </c:strCache>
            </c:strRef>
          </c:cat>
          <c:val>
            <c:numRef>
              <c:f>'Master Data Sheet'!$I$20:$I$33</c:f>
              <c:numCache>
                <c:formatCode>"$"#,##0</c:formatCode>
                <c:ptCount val="14"/>
                <c:pt idx="0">
                  <c:v>1524</c:v>
                </c:pt>
                <c:pt idx="1">
                  <c:v>1594</c:v>
                </c:pt>
                <c:pt idx="2">
                  <c:v>1608</c:v>
                </c:pt>
                <c:pt idx="3">
                  <c:v>1646</c:v>
                </c:pt>
                <c:pt idx="4">
                  <c:v>1859</c:v>
                </c:pt>
                <c:pt idx="5">
                  <c:v>1955</c:v>
                </c:pt>
                <c:pt idx="6">
                  <c:v>1971</c:v>
                </c:pt>
                <c:pt idx="7">
                  <c:v>1972</c:v>
                </c:pt>
                <c:pt idx="8">
                  <c:v>2044</c:v>
                </c:pt>
                <c:pt idx="9">
                  <c:v>2112</c:v>
                </c:pt>
                <c:pt idx="10">
                  <c:v>2129</c:v>
                </c:pt>
                <c:pt idx="11">
                  <c:v>2337</c:v>
                </c:pt>
                <c:pt idx="12">
                  <c:v>2739</c:v>
                </c:pt>
                <c:pt idx="13">
                  <c:v>2837</c:v>
                </c:pt>
              </c:numCache>
            </c:numRef>
          </c:val>
          <c:extLst>
            <c:ext xmlns:c16="http://schemas.microsoft.com/office/drawing/2014/chart" uri="{C3380CC4-5D6E-409C-BE32-E72D297353CC}">
              <c16:uniqueId val="{00000003-E09C-4B68-A21D-02BC65F899BD}"/>
            </c:ext>
          </c:extLst>
        </c:ser>
        <c:dLbls>
          <c:dLblPos val="outEnd"/>
          <c:showLegendKey val="0"/>
          <c:showVal val="1"/>
          <c:showCatName val="0"/>
          <c:showSerName val="0"/>
          <c:showPercent val="0"/>
          <c:showBubbleSize val="0"/>
        </c:dLbls>
        <c:gapWidth val="182"/>
        <c:axId val="846212207"/>
        <c:axId val="846205487"/>
      </c:barChart>
      <c:catAx>
        <c:axId val="846212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85000"/>
                    <a:lumOff val="15000"/>
                  </a:schemeClr>
                </a:solidFill>
                <a:latin typeface="+mn-lt"/>
                <a:ea typeface="+mn-ea"/>
                <a:cs typeface="+mn-cs"/>
              </a:defRPr>
            </a:pPr>
            <a:endParaRPr lang="en-US"/>
          </a:p>
        </c:txPr>
        <c:crossAx val="846205487"/>
        <c:crosses val="autoZero"/>
        <c:auto val="1"/>
        <c:lblAlgn val="ctr"/>
        <c:lblOffset val="100"/>
        <c:noMultiLvlLbl val="0"/>
      </c:catAx>
      <c:valAx>
        <c:axId val="846205487"/>
        <c:scaling>
          <c:orientation val="minMax"/>
        </c:scaling>
        <c:delete val="1"/>
        <c:axPos val="b"/>
        <c:numFmt formatCode="&quot;$&quot;#,##0" sourceLinked="1"/>
        <c:majorTickMark val="none"/>
        <c:minorTickMark val="none"/>
        <c:tickLblPos val="nextTo"/>
        <c:crossAx val="846212207"/>
        <c:crosses val="autoZero"/>
        <c:crossBetween val="between"/>
      </c:valAx>
      <c:spPr>
        <a:solidFill>
          <a:schemeClr val="accent1">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sz="2000" b="1" i="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solidFill>
              <a:schemeClr val="bg2"/>
            </a:solidFill>
            <a:ln>
              <a:solidFill>
                <a:schemeClr val="accent3"/>
              </a:solidFill>
            </a:ln>
          </cx:spPr>
        </cx:plotSurface>
        <cx:series layoutId="regionMap" uniqueId="{336E6CAD-0563-4877-AAE5-C9BA89EAF025}">
          <cx:tx>
            <cx:txData>
              <cx:f>_xlchart.v5.2</cx:f>
              <cx:v>Avg Annual Temp (°F)</cx:v>
            </cx:txData>
          </cx:tx>
          <cx:dataId val="0"/>
          <cx:layoutPr>
            <cx:geography cultureLanguage="en-US" cultureRegion="US" attribution="Powered by Bing">
              <cx:geoCache provider="{E9337A44-BEBE-4D9F-B70C-5C5E7DAFC167}">
                <cx:binary>1HvZctzGtuWvKPTcoHNO5I3rG9FAVXGmJFJUW3pBUCSNGQkkZnx9L6hoH1VZR/KNdke39KAKFobc
uce11876z8fpPx6L5wf3aiqLqv2Px+nX10nX1f/xyy/tY/JcPrQnZfrobGt/704ebfmL/f339PH5
lyf3MKZV/AsjVPzymDy47nl6/V//ibfFz/bKPj50qa3e9c9uvn1u+6Jrv3Ptm5dePTyVabVJ286l
jx399fXmuXgYH9zz61fPVZd28/u5fv719cFdr1/9cvyuv6z7qoBoXf+EZ7k5IcTXinFp9v9evyps
Fb9c9rQ8EcpXglN/f1n+sfbNQ4nn/45EX+R5eHpyz22LLX35/PrJA/lxYfv61aPtq27VWwwV/vr6
vkq756dXd91D99y+fpW2NtzfENp1E/d3X3b9y6Hm/+s/j76AHo6++co4x0r70aUfiPi1fQ4289+3
jyRcasE1+fKPH9rHwH7U54obsbePOLTPkeb+vVjfNtLR4wc7+f/TLAfOhJC5fkirfzBehDzhQikh
/4gXfWgPZU4YVVQQ/W17/FCcb9vh5bGDzWFvP0ekHEgNk3xIXZxW6cMfnvoPZDF9IinzDVd6HwX+
oVW0f6KMTwT36Tez2N+R6NuG+deTB7vEJv/nT5HFDqSGbUJbVc+PXfrYd/+ceQQ9kVpSybncJzF6
ZB52ornPfMqOqsvflObbpjl4+GCf2Ob7n9I6twnq3avztnionv5R8yjmMyNfSrw5jh6Yj/o+Qdbb
Rw9q0L6Q7DHA35Xq22Y6fPrITrfnP6Wdbp7HV2cPZd0m6T8J1gQ/Ub5U1PwRR0dgQK9xBixniNnH
GTs01N8W69uWOnr8yFQ3Zz+lqe5s3yWvwgdni7T6J0sSPzEEqIxR+k3g5pMT3wjiU/pSktShrf6+
XN821vHzR9a6C39Ka91Y93/HWvJEcsO15GSf4o5gnTYn1JfcV0rtrXlkrb8v17etdfz8kbVufk5r
XT+07cNj0rfPXdf+4d7/52hPsBOqGddC82/DCXqiCLom7sOKXxeqvy3Pt4109PiRja5/TsC3K6xL
n/7BxMf8E2kk4Dg3hyjPZyfC11ww/8VsqF5fW+dvSPJtu/z54JFFdlc/Z44DeLh4du3z/Id+/oGQ
ISeUAxZI/lKNgAwOaB5xorQvwWTt0585ohHW0v9jmb5tnq+fPbLQzcVPa6GP1uX/oH3YieGGCc7Z
N9ECaDiFK8B+L7TCcf2BfX4k0b+3zv7JY9t8/Cltc/3g5n+2PeL+iZFMg/A5ihl1ogllsNuLTY7y
2d+R5Ns2+deTRza53vyUNjl9tmB8/sEaw9mJEiAMhHlJZ/TQND4/EQKUKfD1n+H0dan5GwJ92zJ/
PnhkmNP/R8X/3/PZf5L+m4fuYftlWvAVpf39q1/2jhnG0aMv1XpfjQ6o4D8S4fnTr6+ZQO34cwax
vuKgyh8xynur/Pnc80Pb/fraU+rEaM6V1KC2DdhUpLvxeb0E4LdSfYaA7JMSowlwFdXaFPz6Gt0v
l8CEir8wSe3a2uERxC9nEpWNMk2NZvrPIc1bW8yxrf7Uxsvfr6q+fGvTqmsxIEFU1/vbVinXFSkj
RlHOtDIra4Xrjw+3GAThbvo/Cpq5io65fPZp1PVmy2pRe0VI6iFdPkjZ1/mD8Jxsd1Uzt7PYdGyS
yRR6NiKf48qJygstm3J9YRI595vceFVzNpqyaK8LWdbeHNh8kvVnmXfZZDfQVZHxMNZa0Gc92bm/
LZJJFw++L+vokZe8UTexSpuaByVNW4giaunKNwkl3Vht4kK6vA7sKMvyiuq5gchxWdL5kpW8yn73
2sHima9M+g0lAWcf6AhIgwkjlTAK5mMEHvG1jjQt0z5Rif8cjbbKmrOuFIU4K8TQOn22tHGXjuGS
1kX6e0GilEW77y9PgWYO19eaa45y6nNYCsIcrr9k3G8VUelTRnOep2FnueRJYAzzmmznpjF23cYl
XSySwBPeUldvR8HnloVULGrkF51KqjYPrG24ozdgzhpc+76QcOGvZdToT7jw4UJrTV/d8lDGKUk9
ljjuPSnPDYRt4kXHutkVvug4CSrXKfUplyTqzr+/7pFt1nWFEZoxSZjx+fG6dT9bbT3uP8UzfE4F
A6mL9rdERKyKgzFL+/RNFWE82gVJYhlTwfeXR9E82rYWPkXyNkL6DDF0uO1YDqlHpoQ/ebrQDQ/l
SJR8QCB53bldUl3cpB619Jrnzdzf5S0hSxKAZyuglP+uJL7GZFNJH3QZijg5lCTRSVRkM3FPQo0I
ud1M1ULznXRj34pt6kdCfXI9VNAErQLt9smSeXBmO6SW1OMPrAKi+1AtkqGiSekrqWAafuQNnUpJ
NudV9BiZpZLu1DZ1Gc1bLypbM5/OvpvgIt/fPz3KZJpIg5HIl0DlSKf+kQJis2TS1J33GSymLr2z
qUvWgCgnm2AA24+ZWESYlu3M6mAyjEMRMiVJf1fWKpvDyqOuujNlUrpq00jr2G05pFX7+ftirvn0
q3yrKeVECCIkxQgB0XKUS/ox8h1plunz5DoHJyB9TmAfMo1cesHk+ODd1Sxv1qDpRrt+pHXc/8A+
f1EWpUoLxQnmSIILpLZDb/Eb1nZzq+znqpAecniG7LWMwTCTbpaXPJLI+23cu/yhzGSFjOrq0lF5
5nuZN+RBkyDbrpl/TvBUlS7FcCmmvLblD9IKPQ4w8IkYgzG0cwwWVuqoPk18rGpTLfxzGzHlldus
a+uif9ssXVpX4djMDYTzdDngmp2b0s4bP19m726s6+i8Na7I4rBcFjJflklTdVFQGaKiLuwl8Ypb
VZp4KUN0/xNSIvOymVYXZDEF3pqn0dg0PwhTCix34ABM4eyBMopQLhWohaOMAc+smqEa6k9aWpnJ
sCZoZJsginpjXEgX7SG1R/M+exa9wLX+SzqpaeTj0jR2XDW7fuQ/jiFxnMUZ0IZBIFHwHWvsHrlF
PuVtGSW2/lQ7RFGz5W3ui2tGEz5f8rafoQ4TDcXyoUymedZBn7ixSUIk/FHdxs0SeWeuFNnywXl9
q278VK0AYRJDWZjTvJereWzLDVxoHrQcbmuX5cuHpVD5mAekKNailUL7MJCtTIIv+eyARPxymmA7
LrMZH+1C4s7f1LLl7U7pfrVdPsUpAEbzZXnjx948Br6dMrzCAjxA8tSrVmzQ1bLMH6ZWVU29M4Oj
w53gdumunMsjFxRF6VgZenFUTmexQHH9WPlVJD4MZKBwMu3HwBlDU1lAlO/nhuOsCe1rojUOQAit
wG0cuQaP5iqmpi4+LbRsXRxMjOi6DUab2eKc982IRPH9FY+zEdPIRYyiblOB2n28YutIm4wlHz/y
pV+dcezFmv5Yq3MUbzU0Un2KMr7ACUfWd218rZFY4KffF2MdjB4EBddKMY1aAc6GCaDkw3S08KFv
PKPKD6Woyo4Hne2l92ybpEE2SvK2olsXaZu+HVo/RsapE2njbex3bLCBr/VYDEHH4uayiHx1N3FX
+HPQjlQNt53vkTRs5DLZSzgRSYKMiCitAxEpugZ7QuCHdkiALs6jLO/WyB9wYuINQ72v54Dnjk/D
6fd3fJzXfNC5BHADu16Pu6AnONxxrqKkGptW3w99RQBipXMMIHZYVr8VAFniLKHjBLedcsPxEXdf
kK2n6tWleZ+NLLqLJrW6NGvSpXRnac34miKbpSV01xRD3aani5xzRF00liumprNfIjo1bRBG398S
O8psPhCQj7KJrAYLYk50lKobXpWLzSp273cJR2x1dbwK0Hm8X0P3SxyDFZohW5RMa4gjV64pxdUN
Co2XUMB4Osn1K9vkbf5QmEyLs3QsVj0082jVTdRMuCtN+LrFOS5Vu8s97fiu9t3A23BGvcB2f7C1
I5SJrRkKqpciVIgUwHuH1uqmnOqit/M9j4c1U3WugWstxZLax474OauCubPN8kGzaq2PpWcpDDKp
sojn7VIq2sU7w71+vAdKdVDHqDMO7+PDgmxSpZ6Bi4mxqNfs1iNtnqWsHpHWOiASLJh2EcFf6LEo
VFHGAqroOp14XSiLPkNIJIZl+GuvnzUV5g/fV8JRjPqAC0BXmkkfbSf5C9Sl4yLUrBrv/VBqi+yw
h7cs8achD9FZJnH1o7RwVI7WJQWGw4ygLGFef9x4kcwCtdaTft/2FB7SzRjMpKeo/dCPyGph5TYa
PTu1gSr4DIUXQ1QBsiDpQUujm4rurVatH2W7qBM+kgECcrh14JJRAUoPgd9NFQrVi9niZqygyqnw
K8QKomg1R5xPqyG8LKX4MHNmhltiSwtJZJ6jNuWqW/vU72tbGH6YE7H5tQggSVAqgIKOOxvAwdaL
yTS/T5JZFVHQ9Tmvw2gkUXaj2CLcvG0Sp2o/MIyZLAmca9LmghQ9n2RQA+14ly4uPXEdlYnmYTPa
KX4kaUHOxqgXapPryhZPIisWd1taVeJ86EKL8Y0YKJmWjZ9VRtZhA/zY9rtxlP5w45okmmygSlLS
K04cNZuqcoaG2dT1Lgrs5DdLFiTV4MQUxlM+IBiGxY1zEUyezES2M4z24k4V3SzikEy0H/vT2owJ
jYDforg77xINZBbqpRiXBW0tXLE+n/I56oOmrTO1G4yO+UaW3rS8H5Vl6YdeFHG04aJjNJzRn9o5
UHHXmo1J2ZiHsSziM4zguk1jybhcRqYi5JSONGG72Gv9hGzr3JbifpZDnHv3xpJpej91E++uvbar
vFtUDN0/SaeUu1/0EFc2qK2lSfvOTEuRn0Yp2I3dYoVf2sDklrMk1G5pG/8zLTO/ekpYbYdpA1eZ
m2fTd+NIwrwYW5qddVHVSH+DPkAW6jQqvVzdGKq9PD8dVM3aInlO/Ip30PJEue/E9cLtAJdeqGvr
5B1XpFNkW1WirvV5b6I0Ka4qOeVNvM2GuBuHq1FGcZruIlGOvbyNKsabc5WJJPZ38BXF86AeFoKy
XrR+Opog9oRquk0SuSWbz8e49ZL0dExLVJswN6NAgh3qtJe/Wa9Xsj2Hc4xeFI4csIXe9DVQlwm6
mfuTelMwrfHR7b/00rTANWLQ1btwsa1oPi99Y9hwkSlXx+yMTp6ndThnMu/16VRltCwCKYa1LhLp
pdhOzCWKysMUzYqYMJOJkfGbeazHWr/NIi8bi53Oucfq87yfjT+8URmXqQkaY1ZOQrtOJvkHHUeR
t1wKUbTQlDc3SNnXyNpNIi89HjldXNG0SWnxNsvGzI+2Y4ZEEG9titmUC5GyVpHmwSsI25I4mdNm
Q+o8c/6m6ognq99YzCqsV2aFMfd97DdN6NB6Q7PM71NUkJCqZH0J5AdkCZrGrJheJC12H9YJrbja
Zcm4aowXXY4P2yadd1eVek35YuhiX4dm7CwcYKmAN04740rcV++3mnRygfqaTOMfakkbYbUioWgy
K5qu5qG1SJj8X7SYVj1XwmTgkrzeczCFV+V+Ip6bBg1Ns3NpCqQVjj6ddROmfiJ7DxYUfdN/6LKq
Tyvoy0sWe5r0i6DTtZ/pVeQUlq6XOwXPwgocl5rPkTetDqact1pezh6+K0y5qmYYKG5FifWbETIM
VYtlw5f9OMd58xmEW4Lv5FRbdZdLERkeitGAAApqnVDo4sV7oqU1eKXOvHVzUTd/UUYPr3HhC8Y1
cpHrX7yV+TUnqfPuXlTt7W//Q8n7+8AUsPxas7qEALTykuFznqo6dadpxWdsumELjuUHMeNxSu7Q
gMfWBHJvKLsMHVwNnXfv4vOKmjmSAc2TYVZvTNlbaGlgZYFbWA2OzYWgOaLBBDmZV9Abl5Lhy0LH
pPls9hq0NSIIeW2/p4Sl6NHC2lZqpGdz76/dOdmbdu8eKsoL6EeJFE9spS7WzU9qTuCnMXXrMolI
FL6cbUN0cr94qei7C+yUr+rdO9LSzz2kxCbXt9DUtXgOx745vKvtklX0vUK9ZVzwhy24FXrrEVnl
2fnCpJ7q05iARCLbMe0tYtpk8cp8tCPsmw6aNZ+piiu4TyuBWLF5NwDsvmnBZa8vZMP6IYbYx0dR
kTUcykWu8le9ipPxvi/iIk53VezjvUnDaczP8nbWtLvke19Js9Z0+vRF5SYbHMSZUp7jJagAFotn
dZqjzg+0WRS5B3LL/GFTN15XpSFp4wiLyyyxaJm6oga3WYAwAGUDMyX9ubbxGs496iu+y+deZf4u
B1ic5gtu2mKyZ52wpCzDwoiiHIKojUEbUkN73J90TYsPgEZZ3JRNj//ncgRvJ8lIQRU14PKLmyHv
IpACo8uwOk1iO3xQVTShC4jmZfX90SCVZ7uJNwwZxndJ0fvbokSJLbeTV0WmPZcGpWr6SNSUId/E
hbV5fvZCJ2ddkbhs1ycF+t3HWbSY+Z7VWQJ1nPIvMdNYv4DC2mjMo+UDT3w7dvcNH5NRnXX7rU8m
bqEiXk9Ljh3l8djKrVoIRZbrnFjVR6d69RrwVauL7/lTv81HaID2bN1vl6YMHw4OjvubFOyjF6TF
Al4Zx9byygSgLGZVXvOaOtyhZrr2sIPsW/jVnmRZqCxctOurxkXsPI6aBe9Y9tRbhLYcrGEjRQ6K
MqI5Wt+yRO9UhV0BYkJelrla46kTYwoSPs79DqmSq2hGzWtnZJpsh15vVV6f8pUqYL2fg4vPiirG
4xj0YpcfR8CzyLsYo9a59MbwbCUpbY9yd63ziKvunQCNNUfbKcq8OdmpsZZFuwF1QZUINEgg9UnE
nKIlRzE0MP7iiQW7UlW5lo1SRqu7OeYonG+vyayzYKJ5SlI+XIyLLCP9Ll/60btzANNgFZa6MeoT
8i38yxvrBRrIBFn3ENWVh+SP9nJlqYoUeBXI2pR2rD8pMycN/SymQhU3SjX1HO0Es23n/T6mNJui
LSoaL2TQFuC/vdAvqHYfwEiOefeexE0Wx2EkZ55Mt6MGtmmezJAODfvYRj6oiVOX90NpQo8tbf5h
ET0TNuhRHSY0+5RaYEqtpelpDy8vM8PCAV96egj0iMnUtHnZyd6WTZ2BIA6l5PO6rS/ppiiGNf+Z
OV6zCdD/GrxpW653VF/Y+yhj63eSEg93zPG83hhxsBPlFp37OttIi6hGKMdAi9HN0s203mYI1DUq
TbleeXFZYEpkIoMjr7i0p+DXdOrFoZtmx3VAmSP+2z7R8WiDkVQg7MW8RIadj021RnnsLSsd2GJO
hA8BWNadNwuBfwuC+cMNeMtV8jzFpPHTy0LSGZS0Bq7i3e07tirNFp0HWVX34l2+T1j5nmhsfLqS
0V7RrCRk65QTYlPGZWOjIGlU7931qayx527EFG+4SFm8wrhETFhDD8UqVv8l4Dybo44EkezXIK/Z
OmbcVOO0+qSOFpangUzaqiy3SVYgGnd7hYAHXpNe7uMXQkjvLfWyy4TxQvs/IL6OGnpwOcgP8GCG
5KboX2jlpFMAp3nN7hJrFaTWcTwhGkaLNNt4Yo2gYgDxkgRD2qyy/6C7O+zt1uXxqxslcYRJ4vc1
xzyr6yfrja0GVbVPjRk4YEiBPgCR9P2ljgh0RBPBb62wFigr/K/Wtv6rAe/o540fAUr+4SMkn6wN
mzoS4o02mFkhI6tkNWqfZrCwFU7AZC/J8fuyHFII+LUE/MfHDyd8hXE4/JwdyhINnIG+zeI7g6ma
+pRKuuLxtsU5u+1iAZ1/pOe/LsiMAXGgfMNALpojXjFPHKFFSaLbZqpQKOIcFf9czznS3Etkf3+D
dKXt/jXeWXcI7pZIjZ/vMIpx1NGCU5GJuOoKdfuSMcZkWUn7WfFZyt0kWn/YZXW0uHf9yOdsU/bV
ms+5Q2rw2kWgHv1AokNPh0RopXyD4qWNFKDojojG2RBv1DNvbot9UI3AdYjxqc8j5PXUH1KYIBH9
jMg0HMUB0MJLVkGymjf9Eg4NOvudLLmVJJiQWuYQqb7B7YiPiN6kM0c/GY77eVa9T7Pf38SxGWE4
QTjBr9RAyVL8vvPQb1B3m45N3nCTtPmamZYvQKhuZdW/mz2/Fzg6+ecZjrd7e319KuJb60kCQ67/
1kPSh+vpCWiE+aS/eSl7U5w0WUAsMqsNXJvG/y1qTRJQ/usvUhAYOEsq/pIO+BiBiR7S7GZflgCS
V2vovEBcVG2zFozvb3Cd43zlpnAIjJ8EIhDnUQQYzSM+c5yXKXWLzM905blchrosNf+kHALmRyH4
16VgOh8TPF+g09fHqa6MWDn3sYrP9lBkkGBH4EesKfHx/V29HMX4amPgCrGUwQEZguNSvn88LiQE
cxmdJu2pWxhJ2i2T03oaoSeC9fb3dqkwQw9tG4NbNUEZLegWg07GHS0vUa1xBCcObV6D+bliAtwD
eVtGMo7t2QxsIO1NNKU5neYwYhg5fWybpkQb5DImqmZbFv3CupBYotpy4zsJqu2KT9Ry9dbs53m5
QjPC30RVSZvpOo+TweDITD+olIITyXBU4wyNhk7LTeFlNUzxAlC0h8eSIN/DCiB0H8VCfUlj+1Yj
HwlS95iUDKkbreEKA8aBeQC0lvnoEyrW4wZALNXrG94WK5jz9timxnAU0U5qny5pkLddSZegap2p
0o2qdZH1wR+UR4OymQQvQOYLgsJkbYR+l8Zfi7huBjBL6C1yxba1b7FkmaOrGC4IphVpHBZT2aKf
Ap9fZMU9B+w1/EbNnRH1eaaIt5IB7eDAs877PsyMc8ubTZL3JWhXMDAaU4YgSzrfRqHX23gkZdBw
nB5ib01jaj1u4wa//Grey9kMi32PecM60QIGJEzd2K7FEOF9WoNtjjc4hITjBLvENZRmYUkBOn+f
0Xq2/oVU08g+UTnNnX8D2iyq31XGZDnbZlXrEXTCSBxTF+IoF2bp28rOsO1mnNji5oB4YCaGENCM
Sj+cxRyNV7lpu3YJMI4eU3TTxneYi6YJaU8FKbrxsyJlPiebSABwV0Gpq9L9VoF58frA34/cXnJR
g3l4rK78Enk721VJoVgPFP0FZ4H4XnHiXHVr0dm7RvEFDVa6yNGyOYMTMXUwOKJKikwWWw0xWJ6z
YMy9wbxHErf+XV0Zr9iVqYxlkMTxeCfnVGabOR2j01QM/CwlfDkv3TScgcmwt9opFk5GJjc67QoC
znhw7yM49ZmIpW0DRF/yOXN18VtMUruZDI3Qixa8O0WzC0qJVfLSr8knmyMcq7FWV2pM640WSQLr
Es/tMj2JbWbT/s2SFR3ZApV3W38mvIDHqvIxqfs7RkV96YQXX5ZD221lCwoaZ1/is8H2ZpOY0X+n
66TBXL9On9K2iTZFUsfBLKpqIyPTXPgLK3dzVGEKXNVS4NX+XIUiq/RuxCvPffRjn91k+1Oce4ie
GpMXp/lEiyWYTSZ3SUbsXS3AzQcFKJo28LiN78dp8R8Kr5Jo5fvy/eizdEtYRy4EMUkaWM/jVwI0
3c51bfXcZjp6B/IwxXmljpsnilEP+hla09uBZUm6q+fK29K27G7bQYBwQCrYtPPUX/DWzXkgy9EP
I22ixP8tHZiZz3ECoX9smcjo1vZ1hzYnLZM5GLj0n/1O6nLjRZ67KA2OI2wE7bJ308Bz9EmlvZRt
R5sw8hP7QLK2vppwRPWyVXT10EiuM9R4GC8mwNlrovPhHOy3d5HmPGEbH9nviY4jr4Jl8WmCtrn2
Po51Mz43njeFLKXLQ9tmluFEQY3jg8vSwnOToi4CnJhy/aZexny6UH3cxAGhdXozU41EjJYqHEZe
8Avhk6K+cFPjdqzu2aUsyikA0/tBjvMj6aPoRlCEz9D23QbUIkmDeCoHvZGz5Vuhu+qmToT7ONcT
MBnBeDtugz7HGYg81Gks68DruXjAZNoGnBXVqQVREDBSdu8mWuXv2mTu8jDvuvi+SebmNzfVJQua
qZ/CiLo6CzLIh4mrD84NgTclSygmf3xrWJsUYbUM2UNW1kuAIU/5obJpE9T1QN8ZDBHOa+b8sHck
uhBpJR5aX01XGfj+AWMH0WPRqAui3mvQkfbxlfI9mwYFzc2D8wBqNj7wWRbIrG3eqlHlOyR6pUKT
LvqsozZ5i3M6ONsxJu6e2ao+HfqJnmb1oB4cj+5H9Mn3S1Mu/mlTiznImjJ+nqGQ06TTfb8FDJzv
OmdkFDjRYGKbx11AkmE4VyavTxvgUBrEujX3purMZz7V/H3mIvt5WIbluYeDbwZt2bXAwYJTgkqx
aaamuwO+9AI5VsOV59r800JsdcoLGuFkFujkm2QmArVsQkYiWeqDD5K5OtMYzIR1W2WnuezdPc52
ccg/sAtKKr7LFG8/gpdr3poqcWd0LsxdWbrlMm6zZjtppFy0wWV6UwnSXbhejG+rNnLvne+LR54P
SA6smYcbMZcIHnBabyjv+svJ6fE8HSduwdv41WmkSrFBe4wTlqA9zPniuegqihL3bmF+cu+DOvnY
LH73HgU/PkOw6euFeh3OMKl0V5hIXmHCTXnYlabY+Mtccfi7q3ZL7Nm3OSj4t/Fk6ybEyRCyc2PW
fKy7XsRorpflyhnRX+KgUg52oLTvY76YEjm7nLZc5/4ZxcwvHOpFvPGHmIOZd96TFzGcQbuapVhS
E87lBKy70T0obf8ql3zQ3Zbg5yJFFxSmjq5Gr47fgmUpbjwxVx+Kzj3gmRhEb0o/tCUQTNbr7GYy
GY5fypqmF8bW7FPvRf0YFslIrnHUp79P2TA0pwkruAhNQvWliKzzd4aUlbkoE7/eYI4rlmDAvHvj
m6XUQbZ0ZghKHlU31sO8/3L2Gg1dKzJ27qoxAwY9dHJ0PK9EU77hk/De6cqkdagml9htYmp3+79J
O9feunHuCv+Vot9VSJQoSkDRD7qcq+92HCdfiNhJdJcoiqRI/fquk0nbcWaaQVHgxQvMjGMd6VDk
3ms9a6etGjOUsHxdfR6abmoKT44UECLngbdnZlm2B5eMUtf7S+nhF+lsp37q8NSmtepOHXpy2ecB
Q+WS00Fzcw21pF3yUAfV08q2yeWT38dXwPV4UKwBSsSzQiOunmmD7k9iH5FC0RiFUzUCKzoYFbMT
JdYf26ctdJyYzNnZT/WJYLPzj0kER2A/926URW0Wqh9Tr+paEDhVn8pMerzqu9yLUvvYhKBmMlJH
/f3kAm/br2g029xnM/Gv1rS1Y04kdPxr1mM7LQDIbcUEZevUEtXkccC6k/KcXdrb3nlxuoV4/KNv
hwI6zdBdKC1B6HCrVNQmqnBxG/cEAvsy4X1IYG/mOnBkKKNA9/VVV8OdzYYRMm++KTuPWTg4GD9M
t91hbCI6lRWMwuuugUxatLaxh7CKgqSIE79mkMRaGRy7SgrYkZoyl5EV7nesiLrxaGpZPrQ8WjIW
dSGkOGh2z4Hw5FeTojQJpXBkP008CMvK1ESTHCVc7U05vHmgaGvG6vjBedHEUJjpxDV9jp1U4Qcm
32ts84ZNaE7isha9yGg1BzYtu4EFrC4FsROl14FnYv0BZu7AD+2cRF8qYz5vW119qGrxuUoFbTO0
CcPjCraj5AmXex+Hh49NIpawv9h27h3pb2TY6J2pZZqLWWwiY8A0RTYMdHiUYx8XUsYu00kTYX81
anhTFd92bOph41WWX8NhTPw8sMs6FxsOm+guXerwkQEgkkVjoPVgPWDBZODh1q/BJLp7MY9LUi6M
VVfLNE6Pel5UVWpbGX6EalyxzBtsehymdi7IOPe7bub0cez8oExVPZ07Tr1r0tnoTARMy6laYF6n
aIsKQrj5Mmqm95slpM98hkO48FMzL6UI4ukG/OCqjkKuPEuX1bf53FVtHsWLEVkaDBwMKYBIfVxi
3FzpIHI/bhwJTw7fe9638NcKiZdyzTbXyRuc8jj8m7jri6ZFfYGPwB9w6jQ7zdI416Oon9umCj5D
ebM7QDvpfvLTYccEa++81pe5GeL6xR+HD30LEqxC47ZjhLefppWoKaPhNH0KfS5PmoTcZlzaNskb
iKMnLghuuvKhcDfW5Gh2w9sWbcnJrEHz1tUh+9zxKnjpgnC9MnBuCyrm6RhCMn6G+E66y55mRRa2
/nwdcx6ibsXmeFmE0VvUXZphNw6XU9uS5XUyideUfdzACIWYPMXHkY7NlC+ysQpe0zZBLGRrG+Rh
j30ki72mpde9WMhrXdeqy0iPz5C1PauTvMPvzSF/YU3UTtDjEGvCClUD5JSotbrqNIhJfRTo2uq8
E2Hof8bBu8os9ZLVHDzVxYUSrXdoZko+XLiBXbCZTmeN88QtpbZ91SYROB7Qee4mzUFDTZyGV7Du
5Fk4QCWZrFDSXNlFi9eOKNvkC2RGkzWmt29KObwreCnRp2kBFfOrgWtlMjhyphxbE54gUldAphq7
oZgHNvotAkLKdwOr1Tly6N8yD+WIKno+e7T05gHMr78Z+qyWvv/EhLF5t4RL0fve7N/olQWPcNeS
FFQQargsVmvd71cUVSfsfuNa2rmuW5RyKUpPUBzedBPWa+Dlml9IPDf4VJRSGCQMQKRgEeVRPdRt
1JldZWJYKUOXtx2KNFle2liTczc3BDV1OPLtZVz02N2SKViXAl0F77ClpfG0iVwGuurd3vNJO0a3
sQ55knXB3IRfemCj3pgbL7Et38Ew66x/3dVTPKU5um0biUxv9bDonOHApa6o4V8lfaZBc0euGI3j
Q3d2CSehny8aDZi46w3UoTCzwLxTvZNazM1LVXXRVBUrXhXYKEjjhKPMjJ2nWO0q1GrjUdfaG74v
82INLWvwT8NY0hle2yP3CbyXvQAopcZCusjz27tWiw7fQ+QBl9ItSGZ4AAaYO27/2+ClzMdzXNrR
FamoLX2hcJnqxz/EWk9cDAfVpxdplATcijPSvhfrHrzAxQfBe7ixr1XEfRvvwVVveN/mYEmbT1qs
tVdnYwKhy0Nny9s1xhGB7Vg96xqCQnKlUFDaG79NfRflulr03O03uFv4tnDktVP7GiZ6NENBe6Xd
eA41bm/LMN+NkCUH9BIO/DFUVDRxGQNUbcKTr/XsJnBIjUKNg96hmndCJC32Y09NRQcK6ZoA5kLp
LlLsmC5tUEQl0b5RbHBOQIU1UFKbHEiV7teorEYbNX0pVhA3KbSDcUquNpR+Scm9PuZwwQxPhc6C
aE6jkrktjPbw/YZnkej+gwe6RmVkQvgsizTenRK0yfDVHztUWaDfa9mVU7ykdWEkOBWbbWSG+bjF
2v2g7E9pU5k7Cjr2AB24uZp8HuYdifV1Gzg3lCIcAGuZFEaw8PrHNrUrO84o4VgWjsJFmR3XbtxL
5YNitIlYR4RzTPdVbD7vsLVGA89inKO6UOHmHpbGWy0KBK8vUYGiQ+StoHQv40gNBR8S++pt3DqR
BdU6Bw9J13S0wEDD8U36MLCzpTVoDcbNM+hGZBvUJcoJuRx0TTvztfLsRXFBRU3GfOvqaoecluHe
btBBAjiHzOmYcz+apjJy/nIIlol96k0fBUvOOKmmHIJiQ9GhMrfcDEns64L4VKsXoA/AJjIpQNnl
YDpmgwIpIOCKIG7dVOi8hyyaUYdfWxhuNlvDjpWsi/uTVy0TUHZNEa4AWycGoBvE6aVIRprCkvJU
vUduAV8Ms5WXhWDrDrPo5zbXEMxeNwALWBs8vdeeP+E+N7GLA2HvHL7sIkp5kpYt2IpvHuAliIet
qK48bMPLZzSXa33P2kFeqq6QNAdUMPFJRow2r9giQ7cPTdQ+TGvIr4FJVl8rGeDJJ+tmgatxDWVk
2xqbicZfPySW6rtV9jVuATE2uMNsmLCbsgFhhY6mDwHkQ1ak7bQeA4gWTbGCjfm4hhFyhLRbosMY
tS3wREkfZ15NO0VG/yWWS5ClDBxiLfsNhP6yuQyRI3eDTCVpCqIXg1BXPwKQTxuTmmMVS9Bpy7gB
B634avFx0/6CRqAbzsXIHNnBIYLP6ocIFhaVCQ22Xg95hyZTggEvDKtlRlEwuuU61EJfVSQwSeHT
SrAdQAjxtFqmQB2rEXcJGoB9jmSdVNmAAvx29i4V75JEyZihpnZNFnc8BY7SzU1d4EBvQV5BLrnb
BigA2RYLEZedAWBXhP7QlNts8WcqCpwO2MggChOK7+tSjyXhi81XRd0nht3CnK0apSj62SQPC5VK
43KUzmgIGqhAA5muw56Tc1L3HQMmxN2QyYCnZ8+ryavrm+5kPbHcgdVrczBg5AtSMXqEz8BSlzd0
aWXO1qhxhV5du2S9TBQvdd0kPfZfGfbnNiCO7lS80meP18LeQLnqQogB0+CyXgzBpyYF8ZANADFu
JhAmfslW6tAUpASphpn7dCiHoK2fOmrlmuPcRFWH+ryoQzknl+cW367hChk6JBO/SfohfJlBWVSZ
0f2ncBmmF6mmKaubEdojiEqAUpXBku/lp8pb/Qq1lfVyD5XHtdSI9yzQXT6PlfaOssVLXcimY7dK
q+mk6Iysh2TdFXQBdvC4nzxDMW4YlkEVvwqyhaWN/OXBSEeO3TIpkrcmWS/Vmj8AnRkh8bBlSQ5L
WI9xsaUeCqehSe1+pMT0D0jLNoWEuFVILPUon0OqS5QvwXl0Uw02cA1eau7sS8pVkIlF+4hO0q4c
kp5/B1bsFxGN1IcE5f4+iHjwOoFAf/HxR2jmWTw4IP8vyNwk1xYm/14Yhbcu0V8AKKs7oX3Hs0RN
foD3YLtLK69DRRNEwx7ngRzRZixhkTDAKfjTV+tM5McWYkeRWDQqMzLFW2brYHr2kj56bOswGvII
qv5RiDGAFQbSsgvDN6eh/suyE9CD5CsOqG4wBTxwpJhe0NFOg3iQ0TJF9Fa19YxdfkmSC5skZ+Sf
AQlY1w4zvAYYjtNt5IDSuP1KkNUgRTj5VtVHX9dDux0Bcjv1gTd2pW90jKbu0E7JoKKcR9JXXpEY
Gq0Sm1cHmgWeFviINg2a2C8A3gUbysbEd00uu1j69qidhYqZxcTSXRSNa/I5HkeFTWUWXW977GO0
9mmBOg+cQuG5uKoAtERgrIAjo4wHVeWQhcZLA4w9okBBazF982fPsaWAoQlQr1zE6roajmVTdaCF
RMUvEDnW4AwbpGqrzZ/vTZgotDBNaGMpn6dk5aYtYMQm6PsQGWpse9O206KnYlkx3DYofRHqZX7V
3WYCl+G3iMbl6xShJMs2UWNnOHDkmds0h2J9uZMorvy039eVNWz+qL1qIzRreNLhv4GFZ7E9e2pB
w3xu3cL7OLd+mjCz+wd77n1ABOYfAtQpsrKXgTlpDPDhva06+ug5WivSN79FiuSn603ijsJ+kuFQ
gfZcEzMOuT9EkrCMyR5BpKyHj7LkKhwt+9D+MLp+/7neu734WBhHGyOuinEyMA/hFb3/WA11iCZV
DfvaTeKSbRr+AD+GLu2xEL0Jdtk/GJXvPfnLFRHjxtO4ZIdh+V5GDPyZyYBomCgfeYlvwx9XNH9Q
NSEdJaz5hdWRBgRnfOsh8tG0MCv/+Cp+zk/46XD/MQfgbRJI1lT1z3nN//2P//E0DfjfjxnC//Mv
//0yPPq//sR/XP/XnOjf/hSmSFwmJy6//tDl0/z378KH+fnpLjMU3v3DX8Y5/C8DG/4YO/2//Md3
0xzejbP48zSH4ILD/Gl1/GWew7uBtpcJCT//xJ8mOWCOQ4SiiMYJZqjgm/tjkoOHeQ0Yz4EvlQYB
/HyGVfZzkkPE/g3cBYMzncKevljT//ovcJIvwxwwAhGwCAMB4CNTE5H0/zTM4f1CphhHxdIQ6e8I
eysGBfxqtTuQIKFy3naYeOkQKXNAsG//9DT+mYzAJeA2IteN8RP4yDT4ZeXyVfdeRdLtYC4KxpZk
nhuzJP72/7vK5Ub/xCxJnlqcm7gKGz8v3ufJflP0H/I1f31W72/kl72INVM0TgaX0Ns98+9dU8zb
6+/vIvB/4D5/whFAIABXAWdBCFYGQrW/PK6l9wRs8lkeELKWbxODcl2iZiYoiHBpChj7AcUfv4R2
OBw8X+/sEtoybmHIOGvWfSNwJJB6C4O82Za2kIrdQ5E1FMqwXa9SCQth4lCtQwUXKzCcP6KJ1XXG
Bt0+uS6xGWtZC9POsDxBsHeA0N4myVL2UwD3FsUeeo3ah4ASIBHksRoqEkKP3awR82nkdI6lbo81
DrOzn2zxJw/WdJDV1NXXOOniMyhrl2++t5Q14lRnVQ3aZp1VfbHpTl/pdNg+NAr/WIsapROb32Iy
sBNvhrBMvNkUC9uGfUSWqwjC0Ac7uuge8aRg72nWl1Mo22M0+DgEdBDtoCaiL7IiuE78DkHHEP2U
JdY8hEzhl4DIvWIoqMtpSwgsTrcE11Da8D60aZVXk67veWvWt1QN7t5sOETzmENXZqbF9Zrt2zrG
/KUWWgLMSvvtA8wzGuIoDr5JaZFJgqWsvntzZOvcwoZ+TgliEDsbq+jeGB+/6PKAaRRcT44SlQ1q
gBXhaFwMgMOv0LKHCnGICvgpHZnI8fm6PKWK5bpvvRuQwN+gVkfZ6jDtvt3sh2gj31KksD5ZQqs8
0l7zosBTHH0345FIwLf7cY2+bWqSaVav8wZh2ocH2gt8CZRvUDt8/L7B4nMAneguLu/y3KBAAYkx
s/OQ6PpagG4oQyqDvV7QFq49aY/VGKKCk0LuVnBQe0yN2OAtx3GVpxxocmKd3+Zbn1TIbkTksAUx
LkC2OJ/nVu3XIUFlRlvz2E2bflSC44dlumBhJA29RyRyQiqBdydgklEGbUiXJk1hUaV4nKA5Al4M
UpBLg81uFGyM9tiSeNih94VLapHJ4TBHefAQaV7du0vQAvmTDv3o2tBbgpk2KHUqJLwiyV85pmSm
WCUevyFrCmqkqxnTWRSMOms5j26hH5LiQvbmkBejkxNyvpqx3T8Ew3bxNEV8x73Q2yNrFd5hFkx1
tUb0mQ/zdo8A5rLmlhof7fcck+MsFUQ3bXsIjk3NX5VFr5yKdVIZwp/eHiZU8j1qu+Q7jCCVL96y
nhHGTV9rAFtlpecITS9IsRKxszTjU3p5HhzCWxFs9iuKRjzJxdi+rCvhQ6QI3GEA+njVV1X05Ntu
A/afBFDuPBrsEzbKPV2j9SWB1vF55LS+94fZP5iGwGeINGTYhjUGk3bgwrwFQH9O86CHGxDq+Gsb
oP1dj7pKb22whU99qoAXoNHxoI4G9Awzyt2h0N52lZDJXdvI8Yur6XovnbN3FoTOjV3m+CqwzF0v
c0rPUJbHfTBTCGxOxY8C8bBCbW47zKuXmJz6BBeYg8vm1ROu7uXmM8ADEItYBvWaFrCNpp3hq/89
amIFl7OfoBVK036lWwzJxmAT6rwB7BcPaGHjlIKWEMtewccbikWg6cepEpWAwRAUX+NLUBHK3ROo
D15llenxOylHG9qmjOeEjdsJn7Z6IsG0nVzn5jNtict7yps5b2OEToBbtOkRbhbdTW0bA1ip0iNd
UmgYsZ1K4VfeXtbQSHEDEOrzJGxh5aQ+DFYn5dGTfo/bmBOHQDT3SmgQkIyJ36e5wTAmNHLTZjMy
JvZu7OX8us5KYRsz3X0PSGAP3sTlCrvA56ZJt3IyDPY+ac03BhlsR6qEnskYjPt1avokw+QO8WXp
puBVsXFBo542aDBT3T+7xa63GE3WnX78OBlj+jiAjDg6W4Fo2Chbb9ettbdL4lRpEsTJS6zhDU8X
QxiioBpk9uOSzSa6KIuXyOTakXS5hNb8Vwjhy0dm1VIYWuNHAVd7ZdPE7noU8ILIUpGHaLT8E4yF
6dk0w4AQmx73lG68bLbAz1rPH/IVDinyoro7xZP+gmSUOgIUTeB7IztRJLzzDwjGw4J30tykCh1j
NtbUK2WQNtdxZw0MPFWlmYMUd5i81JEsEUF4lCQ0AEwSM5zaJbBdxiB26wJDLLaDGjH1BLxbvB3S
posf4br5L2ox230TLfjqYJk3ORVgANgKCwbNl8Zlm27lJ1A/SxZIDbuMITMNmXhd0bDjq0/CLbia
WCiPug/rr2mAn+76Nn4cZEzPPJjSfRUvS0FmGJl4+71kj2pUHqGyds9r2qT7cZzjx3SOvZJGsBET
pcZ91aVobC+H3ZIGkLUATN2tMfPKMDBpPqVLmNU8tnchhPkvwTD35SiwwGMedacNKzoHSqHKIfLH
by3O8CNZ/OVp6eLtGQupukNOsUL3rtPHsR1MHkdLum+kGPeJDOMXhYJUgR8n/KpfIf3kC0z9PUHK
706pbrvfPN98MyP3PgxMcJjDqoXG4MU/v6dOWf7d+fiwNgrXnR+J4IY2vfdU8Q6bTNi5U9sTXXrU
Np/gPieAZIzdeb6mH0Ptoo9GetHHlgp3g5Mq3tVz7QFWa7zCQ7rxwDifrgFTyIephltB5DiUXhfa
mx9PXdEB8hwUiVvS+Tt/HCccfEt7pnIKsnmqpwt/Ap8OC3Fn6eSf2QxNbkxbdRycCksxDwjmSj/C
SwwFDc6h6295ElTHAJxVh9Al1jIIqO0+9aIEdUUSnbeksTdsGTmgUVblQaQMhhEhHHcLVWE4xs7G
0IO42SP1D2EhaXAY+luEr3+bt2uoUNt1MC9pXiH/g24ZCgO2wCB4qL3mVXYOilw9uyMRfLxFtGsr
molqgG6LcM/ItVGaIeXelkjxLTsGaugKfS68mY61t2FXezsdku4U6YGeWyi+dwFbvZJLYW9ntuDo
ZvWo9mzG1K3MAtPoChJI3gBTrDFNyvbmmP7IEcKrF9er6scgH5E0f9KTHXewmsCVNCNbzkFE1O1c
bSaXGq5yVffbtVsDcZp5vO5CEmB23NyN3hOGZk3IQg4GFTN04Kw32Db8asGrCf+lzbblAicmZg6h
3Jhxr4Kxf/Y1lhPwKpTVaRO8+lXkrqNhXooI0etXpIKJzmwzhRiYtvBTveDFbAJKTkiDbfeyY+wU
r5ErE+XkMXEEdnXojIDsm8bGwniZsNONS7jdAwPFO++FAExgIMT2KfJmAFEg8MwV+II25/jRu8uw
Bwyi2WZ+QOYbls8FoIQuH+/XGTws7uiW1ZZAIgVECQ4XHpNuhkdiOwnSoh2R0Kq9vaKTkghaOvLZ
je7iLI3zY2hCJKG6xjtX3NxpgbE8U4ShPGvrfUtmxXZBNL6Eug8yzAfjV7iNDkbohJ2TIpa3SxK5
llNfkT3nDbwL1CVAc6jUeQ9wpESFWJ8EImM5HLM7ImBC/wAuAY6/LRu9hVsd7ohdLxRuMB+TmpGM
bc3TOoF3k4lXHbBb7fEgEHb2Iwzw44PcpV3y4o2gOFQLxx2JK7CYyVpBtw0hkvmJ8uB3i6jsGYDF
nyymxsQx7NgjbBRAEGNdYUpLNZZx04N9mzBAZr9tbf250oYefkKZ2prSJtt7KBNi/bluY3E3jp14
AVgDm5y44dPiCf0mDDI5LLiEx/pEdEdt3HYiTdrto77WB6+GYl1M1RzdRQn01Baew6Oomq40g2Yu
t1YORYxIIuAyyXMu63rfYy7ZzswdWnK/b05VGzg4dmp+TeU2nIPUCw9bd4nhFutUhavYJRoE4nkZ
X1HeB59sPCbXASYG+LkkdLo3SCN5cPX0esc3Nx2Vq9MLJ7HsVKLxKg4DYBJMYayh80p8i4Xl9DWq
o3nNTb252x+E50jVtNONk58ghMKMs0FNblySqk9dX7NTB+jwI8Rbn2fzqMNn/3JCxsEggPkl9cGO
oz7DD4iu4TirjwjB0YNV83rqaWXOq+e6N/BCsJygHF8QOcXvDBPD12Fhfm4w2ubP3GfQkegKFDV0
WA8NNkTUMUKvu0S6dJ6KPoQjQ6KN0wAzUIypAYK5b51hyQuZ2Fj66ZbkVdVvO7r0LZR5OBCo8TYc
hXDkdaY9uyIJKrGTtX17AOMIcjtmPr5enLYnh66imOpwy1ZgSNUitmJphievb17sqDBzB7t8BuEG
if7UoSkOxEcZtiHGOPRrA6qZzRr+cKr2E2YXPU3dMF2prSdHiXgpRhZViHFWiKZ38GO9Q7is3nBA
uxR735zqgWHD8ToGOk6elQfrCH1nskcXs2bEa/iHPvTUFQ7F/g6lYvsF8cjpQzt384vQwjLY7BgF
Aw13brq9mSh07K5DSRMhmnyPv/5sHfNlauznTmLgSaZBDZ4M0d+qNVnh/SbBlU0TmNqobN9G4ce5
4xfN2ututsn0cCVDr9+rDjn/FYjuFVDIFfMmZ6FuMA+9umlRDGVt1LdLCfJ+vpZVzMGmtOQB7/9X
NQKt0TjT0kwzgllFXG1gAhd9B6IIfUfV189WLiEOLhaUAXiq+wXK/2voic9Ru6xIPdrHTZMl2rEY
AJA3rsBT5w07u/BCIDy6f0xStqq8rmf5QP1+GXKOQUBxrf3dZozOKFb8wUumaF/XMbsiXeywuUjN
jvWQojdtSfVKHV2yETshsB+v2iUV5syg1cF5UqXDZz4wH3J9+jGy0Xr2kQfa47f8ZFWjJvrK+kTe
mkm512rjZoexQAnsfNB312m6rXsjGZ7YlACirVoLzibFQwk5+8hMHT01ZgLTrhu8sDKFRzmipnKI
3e+oR/cK/PQdepBnbMjdrRVbfJpBlyJ0qeJS9CP/MqXdlvdyTQ4wazENxvJtzCi4wIxIVLd2gR0I
q3F8GDGdFBWudz8MF7M+ccM9b7z4js1+VYDmIzdBbcLvQTWO+dSuoFp0U534WOtbTBCpr3ra0cdI
tPDzckRRPf2pHb2MYyLXHjP12tKIUBRg/fx7uMLxoV+FzifVTXtnwh7sRoVUoR1FmaYG4YNeP1V6
4xnI2/gUVpPbq1V+rtORHdqqxomFQvCEjdQ7DOB7rlDKsdMaDdXNUs0d6t9p/K5Va5qiV+I1nFvx
aUkUwI2smuvudfLb1j8HQvMzLJS2gFqyYrEt5EkTJGJyjJqg6U3TY7IFZsvNs81COQm6m0e7oTUD
kHczOtk/jUMKvB3xkX3dLFUhIGE9xWT5Zi2sVn9DqSLnUGJI4PoGFGk40R7j4lBUoUmajcswdLM9
wgAMSrQTB4+Q9oT3n76wIX4eKtTG4F4RhkIdhOk0Ccj8RhcYxclzTMy8I25dD9rGXxhaENtuV1T6
96ihYihnkIk8nQRvsDnXM0YfhWU8A0H2u1HewlY6GHi93+s4pGA2PHK/2PT7DCL2ucKr9wGjzGRd
0GWamyyVlhdLEgD7G+m091OrS9LMiMyrymQJpgn/QwT1oqW+V0ExVJDRi/eDICIy5O/l3Nj2ZAS6
JA9rBP3OeBDjGjFhTc579OPD/vey61+UXQxj9RnmdfkJKNv4V3OFWWpRJzF5cNMFFl/wf83AbNlX
oi/+75cKSMjShBJKsfW9vzF/iQXkxwA3BgzgybYRjozWBNe+Ajr7+0u9t4yg7eOuMPCZwElEvA1A
2PtLAefyXR/iUqMc9RXg7O4QS4wt5Vi8FzB02E8Gi+v3F/27R0mCMAihw9FLkvb9RWnDA4JowXJw
HZ4iQZgniyUkO/Sk0T/c3/uY8h/3hxcaFgZDXBdzqd9fCuN6wMIC5z0Mrg551mOMDza3pD12BIpm
D/njTmC+Stb1W32te2v/4foXJf7XNUoQSoZFmVw8ml+UeldFova7ajkkmCtVouiCkDGvH37/PC83
8etFQtifySUoDGSPvL9JG+C4UIAgDgp2NDSDGlVExUJ+0xN/O2yOWBAOqS0niSL595f+u/UTkhjz
FVOYN8Gv8wZTGtkA81rkRSRxYLeoqqCrQAhmSLPNQF9QgbkapMfvL3tZIX+54wjRuos5RTBm/P0d
hwvIRtbgsgir9adgMB8wNGI7VDFWbcqwfn9/ub9bsGAn8HcjRgBtMNT8/eUqsO6BlzhcblH0aSbz
Hs2/LWfO/H/YZX5Nev94IUP8TQqYSocEAL7Q95dCXunndxlven1bfqxNzCj7irFhNvOWPriGpOzv
42Tzv9T8IiatkOJ/f7t/t2jDFGl6/I22GJv5l5eGhWpbK18eQlZF91RPUPMxZuofrvJ3DxVf4cW+
8mF8/pppjyyPMBYUW8+PXcC0HFZECiwt+E/2zmQ5bmTLtr/yrOaQAXC0gzcJRM++EUlpAqM69J2j
cQBf/xaUyiopyCJNb3wHN81uKikwEID78XP2XhsE3zvf32sfyAKGD5SYrry/DFF/H/xlI5LLKVcs
qKrJ16aqPjte9fnvb9rv1zhZ1BK7Mx02avxAZncxO3IHtO3m7Uu8+nDw/AEC41G0sVz9+TlwinpK
mp3c19SuFxHa0SNOKwZlg0qeYvxvm6Yc9KsI3PO6FhGej1C8t6K9fPXQWdiMUISl+7QuTlY0y657
oVV+s48MyD9d1TmBMrLmHGtxc8hq/6+N3ot53V1CF03bNNzTd6/hWOVNIAP2RTlSoDjTDSwu951S
4uWzKJihE75Jaxepxk9U/m+TYT8yuhlrUrNPuqgP2rpKgqoezl3cJO88iq9ciQ/hkVXsGGjO3ZPH
xG+TZJ4mr9qztKFc1dozMbn38Iof3n5WXvmaDNcydYPvipXLWhbu3z6RUxcZrBOcjaiPsSk9I7VC
PF4GSRMSN/QW1cB8uceKPy51ssfSo3LCwuFS/eDTuC/xkOEoR/A0+kO/gUo9Q0CkHoOZEsp1Y9Hd
12UTfnI4sm46zO2AbdxyZ6L+ZkAnaIAX1pwdbS+tj50YtUME7uICDD0N/QYXG8g7bcO5qtvkZpd2
Rwgx46XCjLsrgWHBFKfjuFJOMr/zQa0/hUZLMcEOzlwPnZFtkKJx8vrl+awJv+y5p+DyHn1E/Zco
OW8nx0mei7l3j32eMz/Nw09yzCJggYhbs9E5OE6xSWwmswYSsMDsPxYhByPSE4KyKm5r5V3MIW7f
osqazQKnWqHNd5Eyp8JcAe0ZVnIw3SOI9D4YrcraM9tW667zTBA/WbqmheeeZ5h9+YL9MBhZr9d+
RHaEGyHYZV/1uVsmwnV/bvUvbqjKdzatV541ggpgv9vsWZT8J89aWAyQFuXEfUm1FpeKLw5862Cu
U5lWqzEUav/2I/ey4IEZC2PatnxkLy8Ypk1lDYOqi2rve511oN9abJpIdueOqLtd6EXdeUzr9d5K
/Ojs7Su/8vpSzQHvANm7sONPXl8ZAWaMe6eExTVNT4OjjM8N8557VGnp97cv9cqHROCxCMc8m/+d
lo7MRTlvTn25LwbJVGQwGOIxCWrXWlrKA7bQxAtaBuwTDj6a9m9f/JXPSV0liNOC7gLo9eRRd7Oo
p+1Ulvs2rEDjqvI+GiOkHukk/7oMgJfE++SiMMLDewqupwfURpWR5nuAEo/TVKq16Y09b5EQf/2Y
Um4gmEIYxelDP8Wv1G0FhwOpL7qCXq0xJOw1kV4pZTtbGk/f/vYGWrrgg5lQdpkin25bUZLXpZU3
fCwQN3sNfz3wLTSwwQIta9+5hy9fQC5GaUNpYDPQPt2+gMsZsdMXfDLNuo+F9ogv+Fs6ivtIOe/U
IMu7/GflzaU4lqI0NNlebPPPfaUQ0PBKDSGGqHO8wOXGh221cvNhXs3lcKRN+V41+voVfUpRfxHA
neooNat2vWq5YmMMx8yvn7Gk3guZwQSLnXwV9+bfYXpY5i2dwlv8rDq44sk7brecO7rQzfZa3x+n
fNhbVnaF2vedy7wsSpfLcDREHkr1cdpQGDx9TBL+6v2gmdq95pbWoR7ZEd9+Dl+uIlzF0Ck2PBPM
4SmnCaknvJnUgLwo6GjR6Qkgr/xwS+cmbToG6t4ciKl6Z5U8YbYvOyVXZeFwbZv4lBeko7DAYs2x
L9v7CPRXKvdpw5V1Nl+MgCdByjLEbicf069WWRlM49mvGXvp7g5/b3TImSNvFWXRPNnNrQ88YR3V
NcXBUhY0lWmfIYtzPvomLEh4zPY7v/2rXwzsWZ44g/Th0y8GSUKcM9nI93Sny00KhOOojfQ53/5i
Xq6w3CJ0lbSUfBP54+mLZDVsI1GV78vOzclQGvZ6Ztx7bvde1fLKCwvoitqWdYiQkJOVHBYrtqmm
ZCEaa4GQJYwPo4ON9e1P89oK5FACQAflUM69+3NZmAFdjBghMsRDbbrCmL+IYvpu07b5lyG1/r6K
5syITJQtAxwHHLY/L+d1iTMguMo4O4bflnsnE+emkOHj25/qtZfH421fYg05GJzuGGOblcZc8fJA
u/Gus8lgxBba3xi2VFsZ2d5XyPrpgW5h+85W9dqah5DUoq4GXP7i0EPrVMcVMWT7KDKvIIU/z2m0
rdMHKGh3LNfvXO21B55jj8nDzsnyRZMs5zO6Tt1me5IVsl1B4NyNgvq/fvtm/tThn24d3ETXZDsS
yJxP1lUfl3WPBT7be73SH4AUVVsNxfEKYMeQM5tz1cfU8MhUqrrhqpnK7NKGVLaLPTSd81RDgYjS
em00Yb/JlYceo+/T9063xqt33uWEzZspbOqfP58sGba6rYqC3Wa0GBN0zbPR+VWAqqw9JK732I90
J+D9MMQoRfKQKQA+oV99JgYswHzVHWtVWAe6SD4kLQ03esznePtGvvKuMdNeMj5c0lBfGAtyl98h
GSm3SRXA9mh0W71GTBnm6Fem57ev9crtWCwFS12x8M9OyxjTmCDL4fTZz6HxTafhsC5s/bmd8nLv
+mW6WYAU71QYr7x0pHyA0+ZqOh/y5DEZZD6N0J/4eKn9FCeRFpiodphjyMW4NTUfGwmjADXGsP/7
zwoHcEkpsigQT1dKS4NiJb222nNWu2wcDFcQOm7oxmNwz6KHybOjv6/buODSBoA1vNg2/nzYeFcU
mNym2mtga4PJGFAlgOS/UXi99wUssXeu98qew/WooQQbG8Xiya0tcMfGScWtHQewCLkl1Vpvqgan
oO3+/1wK2zRQTgpG73QTrV0r6YqSI5rhV+W1nTd4Wd3OOUt6w3hn+XrtGV1glIsPYen0n+ykA5K4
cqYzsG+L/r6Pq+/YFu/zlu8viZob7NbdXx+OWMAwXRCXaTI+Oa1IjZFZmwn0bz+bMxo/V93KXq5r
+gDvXOiVhZmWOgDHxcyDjWP5Pn9r4tSzQgEWcgTMI/sxGsedNzf3bz/0tuDvOFmV/7jGyTPha2mW
YirmfU5dY2UlSX1s7da+NXsnXIVkSXAXdQVCCXMoLJXoY6UkVmwctjvQChnNvx41ZJkw6bVGFHBE
+GyUN+X7RHTyOFtWfGP60RiU0xB+Cmu93BUt4ixOt1OADDY8xLbHkAL637VtLKyxlPH9LbghxFal
0WbbqmgX5EkT+hygxugqzXWqwypJ8MAm8oqYz3iHI3s6kOE5XA4iLi4GTQ57L/PvkyprA+5wti3o
FclVjFBwjzixWFVqrjchLm7Ewpk6ryyRBApS7fbt2/vas8kuDriVyeESh/rnN+g0bdORblPukQk/
N2P37MX1lSW0rSgq7PYQmd++3mtvODU3xR7tewZCJ9ez46lsRDSV+66Jl57TpTKzg+rKd4rXly0/
i14pgy1qE9p0p9GhZPLhqR39co+I/KYmpwDNoPe1yT4yhL5AkBL0tvk5kuU7Rybx+nXp0nJHOVyf
FmR+XTRFrWx6ItU0P8ULo4TkEu0Go4ueb9DMcMZp4JBvumxo1nmJSFDrYU04jTkcbFT+dqq0g4Bq
uTU6C2s+wlAeuHrHvJMJtp9+sQ2iv9SIFDBz52jtd4ZD78Wd15ER3pmZ1QbebDcrYmctwiTmmjAU
fp+F0/8dz4dxnYKt39WjarY4uvj3pAcEcdulG1dzzQdsuu99Fa994xhBDRcUMQvFz0Sw39aIRG/t
osyGcq93zxPj3tWk9F1mdMM7T9Zra9Fv1zktjIZ6KPLKV+Xes0ExlvQbgiKON28/vstic7oYkVbH
aZVoRJDryy/x24fRG/JsGkuWe4ZOIC5tnO+6+Qj0G019O71jOnv1YvQrObMA+HhR9pILgywXHBb6
O6fgJDrvBqveogBFS90l79y+1xYCh7Y/uwWWvRfFbz5NwklRUe1lKm9MGN0BDLrHKpffuwTNQuy8
cyeN156LZebNARYJgXs6p5nJs+T+UqelYx7j8jINQJRSHTDZW+tKaPHeqpsuwDcrbhM9jPdThKkh
wpx94UVetgUYOH10sQRhzwgj2B5vf9Ov/nosiLSR6N9C1v3zm1Zj2GpZTJmjmvq78KOH2BzucjAl
/z/XcclAp6J0Fsvcn9dpCfiJa/R4e06iNd2c7rmcNJBlvXxnI32tbKU5hWhDX/7hLkvXb4+ugApB
RMJc7Ds8I3GLxFWVN7Kyj6lnXOVVc09W5TuNitce4N8ueVqwprOVo9HTiz2Ik13UV9/J+0DcDnKj
Gt45c4jXnl9OpAzJKB85C5+cizrlWfU8ugXLjDl97mIgEglsrCE3vID2bRRotZYEBSvyJmkWr4Fm
LMpMiejPH9pHi6bKY9h4gFNMHAu42vAZxZ28i2a/gkyS50ERtt52dJX34NmsmiunbBFMae24nrOl
tVmZP3RlYmepvPUI1TWt+kukOPUGlth3gOMktUwi2fTFZN7ViK7Z7LGjv/3UvnYX/MWpS4uD5/Z0
AJuDwmqhZFD51fNh7mZj1enWo12TbWubj11CUM3bF3ztK16cWQhlXJqtp7e9To0IuB6vSdL4Grq4
XtZbEsy8tYhCwtvaRZP+9hV/aidO1mAUMyYfkNeFY+bJN03Cac6UNC/2TjH7Qax6586KjSEoYc2f
xQDjHmqz8NbkHi++KyYPXtzlD0U/dxtwXv5OUwrl+tu/1Cv3nWJjsUD7GANfHHl9h3zJjsCGPXw4
axPLybkoY8rGCYDBI0CeeY8u8svb1zyJ1P3ZxESVQNdnWbVhmpt/vtHRaM91OPBGt3OIlBWo4BZB
qtjC8mx35D+IFU8Kykk73/iRjIOJmQzOC8tYv/2LiFfWysUXjhyDiEgGbSe/iI40wim6pMC3nApG
I4uvIRH5fIO2GsQxd8Y9dClqZCxWQGpymshkrDBHTWQ8XIM80bfTFOrEl1N4m92sP1EWl7tY8Ujh
mMq2iPrsHZL872BwVyzZw8Zy0niDVthaS63s9rHTuJsx7t21F52ZVSbuMrgJV7y2mNAmXoTH2Ov9
IzyxT3o/Ze8czF/7/EzA8KC7y4T+tHFEuy3N207w+fNsJHQpQovqjMljYmjx9u17/dqlEF6jNcCN
zrZxUoAwdAK+vmxLfiViIpm8xc031tnRj/Po8e1r/fzeTt+0pftL1jxdRmSMfz5gJODkvSoSDgeD
DZOtY2CM2Ysks10I6HsNXNs4M+BjXXejqS5NU4tuzE7zA0vk9a4udflPVf8ffMP9VH//v//1v+Ib
TM6krDj/LXp4gW+4/K7+z/G7bL9Pv1Mffv3YL4aDKz7QEnBc6i1WKrSUPFr/MhzsD4xBFgoI2xoR
SvzJvwwH4wOnQpdJss0QwEWF+d8MB+F9oKJni+FPCG+gfPmvfxkV1/88RP+AOKLv1a///3v0BENq
HqbfHzbyt9EuINLjDEBD77RYMIm3KggYknvAd4kISgnpfIoA8p5BbLTPRiQZw11k41qq9CTuD4TU
dzdxrQ3FLsNckgVSDiwp8WIIxFEqAEVLnEI1IOAoCq3khm1e37kZAo2IzKpgHjV1GWVkfK8NoLj3
IzT2J6ccnnNjQkWeF/cc6e07VN3zTSv9+2pxbcLdwgBVkUvaEo7ktvBb0vmixxnNQY9C6pZseWKc
605/8jMDLKymJeZtCRHu2EI13VSLc5J0AdKtF5Mim+p4WYxVuzY0fGwEBGHeajX/R4ugXQd6jSMZ
NO0sD9EAtmzFubZ+FoPRbWbFxjZbzDJ+3qiMJIL1ssXw/SeBprX8tKJdd7AzCdCa6Q494hR/40wz
JXBFzw+2tmoxm8OsS1dO4Rf+45DOTRSUuacj2+7mC6fGQ0nfdd4XJKOi5GvlYdCYmsyGR5FUIqTc
tknn05ioWPfjzpf20qHB/KDwiHGU8PpibdaR9qnvhX3ndWlRrAA8Guf0MSHoKdvAh0veh7ceot54
kgX8TyQpOn9bTtb6lVfn2o+ZjSAYBcKgLB7jb1rejpc1koTdz9+vXX4rnmx0Bin/PJh5x5dBJvMQ
cEwv8VVKnIh9P2FJ9ep5m1Tc5J+WXljkFAJul5jnkYchBfdGl9FrccwwjvchYPF577QdIcux7WbJ
ThBACvwphK1YEvRE76g6DNLqzBXq/H7bJZH5VGvIs7dGPYEP4FGBs9EVPAuYqo5pj7uVqyeB37Z2
sgE7Z99VxZw/SCRKd3Etp6emjttzUk/9+3QevG0sTOmsSdsQxxIr41nYWDGkqlpgY6bY0Wq+bM9J
caVknZ0EQ8WHTGfcv/ZssoHaum+tMrvp1MrxO2fFaGD+NJdq2nmLkTXPTfFDOZivsGwVJLgaYh7j
dWTic9n6KdgirKIVfxeifRh7BEYpk7UdlF2yGmQF7bcjWeg2LPzpIpkJnBUkxWCL0MOLwikS4GY0
XXaMJ4wtmDzxQAQf0xtv1KoVyFWg3yM1g0cvQG/vusp6snEHndO+f8T5Dc15GhrcN2k/a/NmyPKL
AiAw7ACOUcT3zGFA07oOenwAxyj0LHOV0O67mue8um6dubhpNVL9FMTGazuxjGMfEZVnYC7eFNQx
+9l1ug1b3nxkkprhIzSVCFRui48jnX8M7hMIkVBiP1GjApvQZrwYZpnwUKkw25bdMG7MqiMsgVzi
OehVq4GNF+1FL/z0avREdlZqyr4mZMXcDPEAH0F3W70nzTIPU1zpvoX9tMEEoUbdfSL/PLkgDSf6
Osk0/V521UFOfPVz7WdrTPQOXSAI9pCWySos8YPr7vPc+Lz0WirHch9Btr9rfL1ON2qAAdljb0lW
Woa0bbQnQlLTJqb1WNPw1Gu4Zg4kcLNxSXAlFg5KA5xaXduUkONIycg7a23GZbsRfQnTXrFQGCvI
nODEHGc6IxSkuonHuX30+fziYIUzbA7UTouVao6ACIdpDIXO6ecV7qAMIEjJgGSlN30fzLFbGYFb
1jKQuRnfO26kz8GY06iF4JmeDV2aTcEgE7DhwC8SSti6DaQ/jLsYjniAROW5gh62kQlguips3Mtq
6rX7LMtZ/HuQMVtfEb3CJXDLBDMthWvpZdnRLWEaVorF3HQGVqXW6cNPP1eWBmLtD38ssmNeLf5z
A8vzP29RjavkboTj+yBhe+ATI+RmNZgV/nR3YoeRlVPuxojluS7RlfA6KPPWsJcLdbEc16XZ8psQ
qDZfKF3hpY2V5peX7PbTZSuXePqq4lQCGHe+kASI/XP8/k+59F65ZKH+eatcupLfo6r8o1T650d+
lUoMnj5Yjk8GC2dogfabwvdXqcTo7YPt/NS8gZuiKUcb5d9ayfnw81i6IKL+LaP+5V0ZH9AHc1xd
pk2cWXX/r2ol8+TUjXSF0S8qMbRUgmiz01N31vbMBHo/uUZQKeDdcSQaG17ijEDdsLasG8tpOANW
uV7KbRhS49srBUA8yMKhUuNlQ9EHgT1bemddknXiNvZyLR8fCTvXMj1wMgnlYSiZ78+lrq47PNHf
cNjyFEN9LBH2SSP2CHztjSoixjM2M2/ADWqxuhIZdizS0vghojImFbwlDFwj+DAYHbg5boZZqKoi
3nlkJbc2EsJdNFfzWvi5fgVXmQChUjg9oeesB9lqzmtqCgi/Gr0+7QvRzTETXo2yB9nlJTbJ5JDg
yDsfMe8eXFJPP6u0NzeWXhMQIEsnvpWul8Xrthqn6wEXnr+uTVXIjaj5xCuPrgCI+Cav1xgV47OG
tT0aSGziVXa+JGroPraDE6eX5BZomGRr9yqRukX+dTLGSZBDOQqg4UA6hN3lD3SD6bHcuTZoijXf
xPQUTlW50iDD94QdhNEdaivmRC2R7xnn8Xg4JE4YnzFHG5/YVg1751ij/pNDtPEdDsEBabGFsWUy
ibMZR0n9OMmRaUbUEMUAq7A4am2Jl1OzPTyIJHt5V16mAP2I3OKRSLHUp6Cj4nZep3bbyrWTu9On
jjRZ55pPAtwd9HMxrv08HteJ3otNq0vSDLQ0/gGHkF4GNu99m1j9VkXEF9jLltVXsXvTzBZpGCWT
5zXphtVN5hTyOFXg+4HtGDdEF6gNIGnnGFruBOhQ2s43Rb7zeuSluWTgTAZAPFVFjI8RLoGBIVGr
z60IP+CFXva6Wx8ZZyivBhUFx9/bcCOsGkphXNbXVtbE1WEuE8Na6SKZInzEXuLIVV+01jk7NDHf
q7ik2U2ogmEJ4jxn7t5N32K4xKs4uHdFXWKUdLXRrx9yCSByRWSTvsZXzlxR6nFVBGIclz3NBFh8
TMGN+edOHcXfisad4D7lLoSeHG+pdj7YSdQSGDRC/te85Hwou/jMCUv1bNI5R2TdKnzdNUm1hzEC
F4RJ2WTqA81ap68N5AOlsG6BKuiMqTMCBbWj2+uycMlxTpJrxBTGHMTNQAFQyRDUTxV6brgS9ZSA
E6XRqII6rIfhHDxxT5iBZomgivk210xFBiPQibub8T2VfnQNwCdhRwV45F7AsVCXeWtjUs3cfh1H
jOZ44iyoBalbe8SxucmlVlU5Rt8whCq8KPnkusg99WQmbQWxBj3c0QIUO49dCuuj175qs1/yTmlO
hb3UTif7soMlOW+Z+BXg1PupehrDSodqMPVQiGCWVTvivyRJQ7qVRuD3oZHuWYmmOwDfY3Wg99SR
vE656uxyPTbVwU1DcRBVLX9gLvpo4yU/F4ndkiOegazYqwwL/kGCl117tWacibbVkbCn5g24U95H
KKEpGLWfY+OeER2Mo3Q3j8I7prioiCxQ2jiej4aqzlzB7H7NlbKd54Xg44yI8IaE76qCADWna3O2
xA3yWX3YCuKi146fmmfUBf5GeKnmb7SkBrQC89m4r2cg0ER3mXzPmRWlX2TjEoakd9pHIfPhU6uP
oK1lZVm8a1BNqe3A8BaGA89VQroKckEAy8aJ20ie8R9YqL3oaucr23RqjN54ror4aLWajTN34nhR
wxCacmtYjxxuIA45IIJtR0ZiVTIuw2coBUPerlCAOyoyXqwLYpF6mEllmN8bUyQeBjU/WjzCsEta
LAMrv9TNveMp98axE2MddeG07syY8DvczDrhwZ25yTUbqxSpUeNtGbbWZV6YPXE20i2MCyUrmDTd
7KQ7r6nEU9ONT+gGsMx3+CGMtZGEuRcAlevIpBrSsb8oACtfzpPR3hbQ6YlAZ/+KboxxCKW5ePGn
GRYYHDzXJl8DK3h4hMWuvEvLy4x/em//qafeqafQ+S3dmP+9/XTGgaT/mv3RfPr1Q78qKo8CCCEp
XSQXxdXSYPpVT3n+B7rXi4Sf0N3F4ESp86ueEv4HWDi+gZtFLH4GiqZ/+aGC+syHdcWIGvU6QM6/
6j39pHf+3npiWvRzcoR+DH7oiyEGFWAsOVFGRzwMXRwsqoIbZUTzViiQP0nj+sdB/5IyxTrUjcXu
D37Zvx2qoaOtXww70RjNjp1f19/R19BLOemKEadr47JcRJ4mTbZTqzVIg8nOTM9Zapu6uvL9TL+C
R9nzO2ihna2MvrpjE9SsTSLDVRchV9TqoWXQ5ffhNw+BwU2L9LoBmT+5hfs411p0SXw5FAkrbo1P
jMg7R25ysrJASDgaaz60N/2qaG2v1daW02ke62k4ry1O2l28NkhoyIDBWG4mP8bTEO2rUQPnzS6d
N7cskfm0tlxiIpbTp3/0ZE9mkjmlm5EeWkMPX/YbIgnFNfDE/iORWQCnZVMQe5KbebTqyfn6UhA1
ckukY4VS1yJSLkhiUAErDwqNwUZkxjm+qyrPtgmuyZwWgbBuSsxZmYrUtpThA5UWBLpklkcoFAAe
e9F+TUh+uPILQDZOCoUpqo515bT3bpmAevLHaee2fXdGftkAKH7Q1ok7N5I+S+pcNpaYzsso3hI3
k1G1UPXekvrySRcpyDH2wYoRYB4/mSGRfivwXOpCiyrtBhSoPwZuPLUblQzjeeTOdzpZJ1eSrAIg
UqyZK9jWBhSOTLO+yLZIoSbGLSwXQsqCXuiJc6t7WX1Ls1NQ3Xk0Mwj/iIdASCO7EGXeio8psx1Q
NlpC86MhxiE0tw2shHuUkSP1mSjRU9c23Z6i3NZuF2eBIRFHtDhQULq7xn4UYb1B4k7WwnKyHukQ
HKy5U4HRRM4Nd7058zgREEaZ68cI5dlxkUYcY0PPo3VY6vlT3RntfeVW6Y9GGa4dZL1W34H6ni9F
aY7ngnHqtwjS/dYKu2ZTEKuxkubQBfnEhmcmeDSBawzWdoaSTh5gVsfPGY89cko5Ul9nEthVpG51
d1CXvkkWgK1aRLb4p3Ygn/JNpwECMVWCDhcsz23c4SPv9Rl3Go0EHmkqqXCryD3AitpYzhMtbSvQ
Rg4Aoef3G0pV49mM6FoU6TR9p0kUXjBlseDBjxIZgjUokE2p86k1p1mSMxkbB3Mgt4uGgphiwG5u
OYGjAXqxcqmyvRUxvy5RXH4DVAaD2LSGF0tahtOG2r09YiRYWVreHfxRGmckaFX2ZuQ+HtDxyHZV
GKSKcZYrz8ZYcffAfZKhOKSQNYZ4S5gWiVulF1pfC2UpZ5VgHL6fVV2eA+4mQKOem+zCtgnMERV2
O9NLlreLvFaL0ZsFXW1wcoHLuPMVsXF6YtMUJ2kp6+RHP1bzF3eYx02oWuvgO9jjIBb6xbo2SANi
JVSfhnjy5Kr2nElfFRwPjTUqt2yBstFYXFWtdEFuuj6EoIYYqVWF3nO4FEWND86Y0ZNBgsP+aADs
L86nyqV76k+EKFaRQxBnyyJSBGno5Vc2CfWE8NBUvWpzS904cgDwN5cAgAkhaPMrdvh6B6eVohgP
YqVtic6o8RXL2bl0WA7OmJPlyaoP8+Ih7MrmNulFV22gcoiLkFzjc63p6LwT3aFfJV5a3bt0hvO1
0SfWWq/4c4dn1AekOMXHYbblhSLF5joxVfaRmqS892xK9Wiil4TkK9uwPLP42m2WfU2jTish3iaw
zzQhnes2mXLtCcczRL2xafxbU4DN2bg6MacrQKKO3Fp64X+Xs2iOmLDUp4gci2BAcXuLUqrZjxW8
Gc3RJNjHKt6TlDToKwpq6yz2h3TrqkHekeLFMDAk7eYG+RKqpKFIbl1g/8a+JfL2GgVnTXeP5Kcc
ymfcfq4mEsFWllGyOkhOIZvQ6bPnmLaiQaEPObIDPletIkPZBMAIb2mTTl18pY2dlq3toeVyedQN
P1jf/VvYW2rbuE772dFIiA0iX5/PLdbmbTqJ9CAzE/e3spsNa8N4SN0sfBqyweAfPHSs87zkhCoQ
vUcCJjDZOdYCQhKJrUntxj03ItvnADyZHBf11miOxO4k4YF8g/6s8xxAsXxtoI8IO9QlVtJe8CEH
w920sfM1FbpaKwQiQdaM4iExOmKXa9e99kVscNXiq4lOgAfRzsQVKSHnacjSP9v5eUR21FcOrAff
7Zlc2OTzREZB4oIO3aeurfRygrmysyqt5gfm0bwqedFBGSeeurT75Xht9mjSYxhVPVEaq8TTtc+w
KJobaYrxzLIbK8fPHZefLNsfvoIPas8yYbtrWVTjbqlLvuRaVn3lKbVBak0uER1W6g7ehijemFw7
4GArtlN5JryGBBhbxK4IjHZ2Ab5O2mStaXb4YjtJbUkgnnv9wUnpTmwap8m+WJ0bZTDTS1z4kRWZ
4TptiQ9ZdTBhCZKJXfXM0XsRDGbJgGhy0OWnpI0zclslX1f8rFnpcKXpVnY76c5dBnRtl6ZFVGyE
Jd05KInou2gTxfnBoPC64lxuHSixqs8ERnXbrtfgkHU631fIsZ8uhkjLz4JsEv7OZPhmAg/c6Mhh
l01UFhde0xrnkMpYjseWYBUgilC+qLvMmoN4BwcKfVX2bPguWDuQW6DCSKRSqV8jcgo1VMHKA0Yh
6MTEsKcxGm+0qiluVax3l5BsJ/pmRnIHy1EXa6c1BDC53AQM2ba3ka/YrG3Pvoht/MvgJE3zPAH9
Ya/9sSUjk+wYQn/tgh4YzZRhTWaH+1WlY/OF0I8aj/Ss+UfXgjVNgWmbcsN5xt9wsO+slSSl5OCl
eNRhZ/XOOTOj2SJmKO/N1ajN9CbcNB3OyfIgnlexjqSBLC3HDihP5KOZ0mC5GUgpsXY9m/4Nb+2s
YDa5Voj9MXeOQyrZCWgwlc2ekEMwf6MCvcvWalF/Vbnw7sbRQHbXuFrL8zU5Z0inWWhjX9Q7j3ln
eiHjKUMlHbrFZcqA5kGafnNrCOV+bkIv3VUOBmdwjJn21TJC7ejBfy13TStHgmaiQofDasxsGY0b
97uEjJxrk/SG4ujViX8V9W79g7MlPqxcBwtBetii4awGDbRYT47J2Dex6M4ckJTVLxH7f4517xzr
APKQu/DGsW5RFeyfi7qNE/n9j275Pz/5r7BA/+CwiXPgww3zPyc710RUgEEcbZgn4GPo/3Oys+wP
FJc4Suiuc/azBd36fzvl5gcA1fznCAR+WkLF33TKFzXMHwe7JRkCz8XiwUOkdmrDszRnjBoSSPdZ
afPazXT2TCd6+O2mvCJd4CO+vAg0GrzhfM4XWvOOp7T2fcRefUY6Hx1DsrtcYgcY/3abty/14jTI
50HYTsqGxYjhhWm7KsKxSck6xh+T0JIh1OrMJLFzRdxpwVacdHt4NdpunG0LnvpUvXP5F7cTnQCy
M1ROiyno51n9dwmpmc+erRyz2aeluifO4NGDLf72J+Sh+PNmLpdYtCY+h/6XjkYptanXQ6PZ24a6
H23xANYZxx0eRNaz5vvbF0Ph8vJymMQ922Is81ODy5//LoqNOA2MjOP3lqLyirLCqIFGawXxx2Fx
zAfroxWqhiIpajqmwpxIAb6CNiXrihGJZKwAAdg1I4McgtQDnKpcv2AOP/gNQ808Ql3a+ilnk8ao
0X/G/kqmvnkw00J8MVO1i4a2+1Fai+phCQyESe7XjE59isoMUuxl3PT+WsSZWPck4j1MaSjPEydS
EUcjF7IdDVIofSQsPibTsnmAJ7khS86+srsyu6Ve+XmCZjAaddFlPxBhERV+uK68nna3bjdbRiLz
IfOiiz7V6GAWxQ+LsUyVWF+d2bvpJF1w6HXFsdbHz9FA68MvUgciNfOhAunLOuO0scsaxAeSkwAp
auq7jH36gWl8heGIY7RfyY1lFv1GVcq5HEdB9oPmhEeT9qKr/T/2zmQ7biRL0+/Se+SBYcaiFu0T
nXSSohgUQ9QGhxIlzIABhsnw9P2ZqOwMuaKoE7WuTdVRSuGYzK7d4R9EclVk+bDtVCiN0ulXl+zx
YWlUvtOiKG5XvEgfhoAkCfDAljlKugtbTFE5vyakY6pkX9hLdtMofztmjB6SSM8nP7WDcj/31gCS
Z9ZpjARkMS5AP0J6ECRPu4xWlKmMwmv5XT6xkSIRh2bp++CD14TWn1k59e+aVvA7FIHOAyTb6VT1
+XhEfQDKUd+jmu90fnbCEaG/YdLm71ElhsczY0QOYqO461qkkYsZQdRJj85hyiv7Ee+uaAewYdla
We6MT2NudwLTVi2uOebThzzr1j2Ot2Lz37ury7Xp7+peXSexdl8d1r3RhRBqZeJGLG6AEhFr4bvN
+jg0OLLV7lNW9j5KrvmYUsa7y9FTefzeDtLiwgIVYGTC27uR1o2jRn1z7rveBj4ixTnDj41Y/Pyi
j70f5uvJmjFHChVDRretN8kQYuQg0k/FWGaX/Gd/QuS7wvGyAxE9v5e6hEGr0o01FdaFVzcYp6gA
hVvsvlGAS+f3VoLmqePmgK9tWR01JmeXvlTdSQMzBEKQ+u27WiMlwIpGVW9Dw9d+7yadfsat1t5W
bJprRKWt05AGzoW74PIZ0I9udgUclEMJXGDX2R1XS0uD5YkthFVbZ0kOicw0fZ8oeQKwAO8mSoGI
J8l8WgpMGkMzYQmocC7UhDpwXdZoEXt0071kXLa1X8bgFKr5anUyIzHrRoekCOJHmIzFti5zJCbD
7NlN3D9jcqB9Ogz2PTMd++hM7icUk68RP0oxDWEmIkLetIs00IDhHHYIVEUr4ra7hO7FrotEtsW/
4cZSnUQfIal2Tbe+5GlEywEZP1pkSTpdJlY6ArC13y8aVNKC7CbKPFTiGHJcrCU/CwS/+9ALK6wJ
T7MFjLRHF9lp3Wc1IRDU4oq5V8uhk6n74Psyxt+z7JvLJpzUHdWb+wwmObrM69m9sAV16oLz+D7L
qLQ3Pij826QqKevpKukPrYioolp/vRQLrpB4zD717aw2ThzhUBsl7baSibNTNh0P/AQyDoBNPdnT
sElTjFIrCu1bVUeX1eR8KGsMe5xENNs06q88VLZ362olu6S0ohs08yE4xeD68OAOR8d7xu9Cfqb+
nN5JT9WU5hV7j5AQvMt1sVzTCa4ugxpVQjdCkBa+3fyRoQV5at5zZTumFcSAlw2EXuhSfIsLq/pT
zJ39kISr995dMb5wq1hsRVXTBkRlxL0Iq2zYgyHEAgEA8Etda+tdibYBr7nZln1YPPoZ5DAccNtq
2yEMiwb+4m0LlBj2VdRVFyM5+3Xl5jPShHKdaMNG1hGspHGYCb+EVCTDZor57kATCyqGKIRIimkS
AJt63zue3oaTzo8MTp29COIMGaC2PbXw2o/+4PvvghyxADwN0k+Rv6/TXF9UOuP1T9nyQRC5dg59
9wMvqXpwo1RsfVtQIGCF7TCLw/EX5vmfCP94nxam4rdBH6x/Kjy/wX0h6VjIvr8dhRwOZQ1RcdBh
cfRKzLargEXG4fmtKZWzobYuD0GaqEvOx/lyQiMejeUFiv9pEJAjaE1VanzNK/43yf9Nks/kxJDU
/vvZzZ+5+tJynP4Eh/nxX/17eBP8ixXmMJxxDOb8eyb/Y3wTO//C6wsyBsoMaLgx2/n/4xvs32z0
yIwcJeg7oC/cxn+SfA8Ash37gcm+kHT4J0n+zymj4VX7oe8iUOPya+IX9D2DI/zo/Sw4xaCFj30t
DFG36dEV1chFD73yf6M58HcXRHwK8KRgMoNw+89JY8lTS0diE0EZH+0E2oYXQCSXu4AtfExxt/oN
t+nnAuP1AQEN8b6gkIOOPiO8MIFY6U6F3ilss+C5iLmAi2TOg/Kn/OIv3/5vapmfSWLfL8Wn5luj
c0WFcU4v6LM5Q1hLeKeynv3nPCywcBvWXG4AQYjbYV3jxxC09W2f+Mv925f+m6dkJSEGSKFGhwY4
+U+p+NyVk7at3jspp/AuG0TLUN/xG6xD8DuofzNYO+POfH9QViDcBqBi0MXOiZxLi3h6uOTeaW5p
TG1C2dvTBv/3ChTtEIJCaNxCZlf1sih4ntBU1EdPtBWNnyq3trbTxL+hDv/6+AE1KmwmBKgDhBHP
uBYYd+MvDU4dEW+Px41r/DFsC9Tx//BaMAoo4VjCLJyzBZXSD60yrT2AEbO4HT1LvWAkt9yPhSOf
3v6qZi/8pwI375nxLKK0tAIQerT9M2pQPsgeIMjonaYkA9Wu4v3o1NZvvubfvTuCEOaMXIwodbYh
bQR8mCNUGMzgEXMqIgxpN1Egra1YSyqrt5/oTOT09ZGorgTyc6Z1ca6ugGSpAK4r3FPh5GW9cyeu
ScdLBXhGK/kUdaX/7AWaTYod8j0qUy7offAqv7kNeiS/vFmPsGebrerRZ/l5vySorCVJUHqnJRqc
KxfEk4VrUhxdS0uxQikMMZAowY/Dfxq1QEaAzUsunV8QQfrj23fzd18AXknsxeZLQwr5+WbKKg4A
0Eo275Qs90z0Z8T9x/bkyT7e//NLBSAwoVcYpePzFbXIqG/7sHNPuc/rjeOULQt0kVAfBXyJty/2
c6gnfHuIyCKBhbgFl/tl+cpsaKuuk9ZVgvPfCpujl08N7KandY6WuwnL9Og3a1n8HILNJZE/AT8a
BKxmg/P8+VUiQubRVQZyYCd9jkhvA8CH+c1yTxK13Ocq4bu6/rrcZVHhPIA7i/f1MoBUsho57wDB
dce14/j7HkEGr5SKBeDkKxNWC4RNjjnJb16S/53g9p9d7nPw02eDrhDQtfnOSPz5nmkHF2hruN6V
quz6YK+gsNs8sA4p+hjjprVrDQunqooeH8K2oC+wR88neE+yX9V7Jk/cY1InfMjET4eX1a2Hl8Up
WbpxtrKvnM4i8tp9gcUffSFwSCKNvecui5b7CqTr0Wbi9tKj4nzJhKikLVM47iUSUd3TMIXtKUo9
96oveIEbXWI3gPih1e/B/caPA3OmYpvFSSeQBvP5acWoYcavKgtKvCZy/F7TMXdBnjUd14h404HK
9F3X0XPceJPnMGzKce5SWcsKkZ6QT2asuV5YyRoHV3Tr25PCH7TfYeXeZHieZcNLWVTdUygbR17V
Itf3tFeXOwvy3ISZWpnmnwQ1woqjkBsYbzdQso+Mkll7Qxk8lxBsGAgXjv+sRaxeGHuaE3qa/Oda
l84X3J+wlO7C7r7HLxArRPxMwjz1pg3xF6/sGUBlvRVaiAfL7dikSxRde1RRAB493miSJ49wGvOL
xHXVS6/Qw7VaRzwghWsgYHMS3iuVro/O5KsXGXt8pzqY40eBu8lLiZ+1swncId6vKhHuFlny+HGU
sBmo1rV7GScNv8KgXTysA+/NG23VvZ6oDSf1QSrG0xtdZ31xBOQGcUKHISvbywJPQyXQa3iVmcTk
u9db2tXxNUyB5R44fYBmkG1ZDH6aStximsmqKdEOeg6Dkrepi0IONOci3Wwp48PgSpp4aYH9VBfK
m6i/nAWV3y3zN2xW+4FzMWgz9l9rpxpo8xqJ2wziKp/Sr4cIi6uoA0KqPc6boQQguRGNy1qmuxE/
KjvhZzHqgA1uucudFKbLN4BmWA6A8kg6hgaVia2ZCt+sYbViiJbX/vPUdv4zli7MI6Fyw5JhigUN
3V3xG0X1PNw5aeB9aqaJCfSa65uqmygH1ULPiApVRAeR2/0V9lDTZVppLqOqZdkixdWOO1slwQMy
wTnToSBiOg1qTt/SwbdPNS6Eks5GHG9BUrq4e1reVjerfihh7u2ZOkt5VWIjT2YUlGBobdW8H6RC
JLpIxvpr6/fDt8hb20vfCcdbBP/GZquXIlm2Y0lkwjaVwDXbsuclWFp+DKqyVwfwTcGXZQ3FTg1N
cw0Ct08PEKxDOo2jzHeiaBuQFWN7GxeTmLc4u2B2hc8nfoWDvAFCHVx0jU5OAGfD7iJSc/Akc3Cm
upHrJzql7RVzsRR7pNlbPzVVx6Ded1ZoRBOfMUqw5YTy1XwqJE4ju2bKQBHZfXhhklEFcLqDItf3
tbXvyAHpUTn1oY7wuCUwJZuGptT9WCpsu8qOkXKPHZX2R/2VFuyMMXBuvddxW3/Mywnwpm6GDZhj
BIRAxgC+73E7Aacb5au1S8AJM17txaEGfFPQ2rjFbdcm/LsJfaqyZ1BNE6ly24EZNmMVf9MHYZS2
5svL+ZpMNzrCB9X+Do7STF8KD52NV9Hr9cY0u4xaWDTVoLLd2mpr79Tt+EGWQSe3U6MOow/npsns
L1Wo2o+AJphTx2I5KCuh8VxxHzEo0fecStjhroT36wBjrY1Mbb5oCF8MX8e4ubOHUd5BhGZRW/Tb
kXtJBnFrOQVbQikqhn0rMeo84dtDgs34G1Qv0XZ4SXuACFgNxgLQ0sqSxUgkfuzDcUkxYlt8e4+r
7NIg5t7ZIElDxKi3jm+1Twntkzssfa1tqCvsJVTMeRyN+Dpu4OPQ+Ogr82tiQTmkzAdCENGYxEy2
RNuFOgoxSFK4YFrFw0SXqKOJ7HdHejLFwgSilE9SsmzxspxahQdHUz05LQKg6ZSBwBNu67Ts+UzJ
+pNfZJH8puXkbdQUYihRhYPaN4U3f62jGVqlX1r+n2DL40sa5OqIbx7MiWZJc6iOosg+q2l4LiT2
Nr6Xp+kWv+FOfUTRe7T+wGC0dY+Rk0W3U19AIGXws8/wCqCxF6wHHTXywxqndbhBw23+MNGdvw9S
+Y2BzccFWOE72nHDkbgaAoqIAeB5o3Re0iFLX9Y8n/9g/MqXY8cX+24qMQv10tBgMrKclmJXqfAK
tK8CPoCcZL1VAXEciBeILPx8FvuEQJy+6SDA3wfrkgP1r8tRAJZIciC59BMerWZamv0ihuqGDrv3
bs3X6l0nvPG+zqNui+Ok+uJNFr7Xw+p+xlSMvnAggW/5iZMHGxWhfVVmoNxmLCnjDeqrhIs48enq
RjgXz9PnRFrzHzN0xPdiHO2bPk/9T+UcQNqDeQghHT5KvumQSLiNPZ3f9EyWrqx4hiOSTal6dvJZ
nmrUDOm9++MJyKmVbLwBq8ULQcg7WCSzoKiBjibAepJwOWSoKz4EpZTHqXHRvMT1+NrWI97IyEZu
GFPMTzg+duPeVsrLr5YcZ3eMyG0roEcLKQ7zKnuWF3E2qiNVrnVdhGv7wc6Zqm+tcqwZGVmhXR5H
Fs/tzAn/TUyduhmlnC4WDsJTU6i62sk4g4ncCsqLjOB2UXqJyLeSzMKCwxxO71NnoqXZFAnAAZq7
/RMe5RDXdOVfL7lDGHVtHTN+geyDsHXdjwkc59a5GUKNxIkGChTtoyr0CIhi/to6sOYOsdUZ++PU
u/S8DgZhhU+sGsP8XtWi+zAKrR6jSnv7aVnLLWq1MHqhXG48CDYC1GMR7lw5hzkCQ2v2YtdMqlAp
gbmaWMxIdh6v6m7C3PKiqdYQn3ZGbO8gri8f7H62bvx8AJaRu517iMBW4ZEsG8ysVOhjVurkMapv
rN1vkBWWP2XkDl9mPwlfQKDgGG/LAO9zPEp8vAbaKuyB/9GVBI/e5bsem8DxGA7ym58t6Z1iRMcp
l2MO7c4LRKYW86xdtuSd3nhh32MHiQGVVWEo6gBRGVC0J2dPV40NCuQRXND8ESeBU8ngDrPNcPqY
BZree5iuxTs7xJllk8AafNfEFc6goCSt9xl221vObCW8I5Cyahkfl6zDhuS1gv3fXuhveqGIkr4J
Y/+/1bMq6QWCZs8HffnyX//n9b/4NyvQiQGxg7UGoIjeIU2jf6PY4Qn+i0IRhDrlaIwyDXP7HyD2
EAEFDmk8Eb3IRyDGlHM/uqA+f2UY2JEL1sGDyfePuqAGM/HXfgC3I8CKA4dnHIDPy7kICVwwXdfM
PL5m9iqLb1W9Jq69m1Ek6gbMGDD7fCwMROCgNBYWW6W0739ZEmTgr0Xrt51zkBaTuk3ZRZDbN02c
ILq1iSo49x96G0KY3vaexOUT98UlBQ02uVOH5bVbjXp1d0gTKucdUhKSbZXaxOMP2WB8vZHzTo1f
NgUN8AgAaH504ao073yMaAsMQLfVbAZvh2YqMCvfapUlRK+36/jzpg2FaYxaNogCYwLxq5lPqwJM
qDBu/SrVPMUVyNUwM14YaGWUNzHgQi65iLypv3UB1OIHyOUxt+ZkY8/zNGJOlw9v35JjeiL/KZq9
IAbMgVwMlhSGUApk+ueiOaRoqYHLpi+C4XF5Izn2jabASHZ4kVlBPpekOnkmCoB2OGluygKdl3BT
2LItn1sAcB2wsJFDG1mbiQHaHgbDOu7WauFT7Acq2/Ux6wPcqPfBWnbB7bpCtc/2dewpv2OWSsyO
f9McO2v30bYwaxC0i+0LBJrOdRdxSCQBIE/6auOHGvzhN7nV3sN4b9e7t9/ez0gYjwsBkjMqVwhJ
8vLO1UI0EuzxSiL5guaqI7CjrpLSYzpos8MXNyy8d7PCKxDcKugIa9hKkYbTfZn7TfHt7Ts5a32Z
O2HejJUCnkMhPZuz5iMjOY2VYBG8TCrqg1sfOQ2sZSgZ3NC9SpEi8IN/+pJpwND+Am2E9PGvNi+W
SK2Q08v9Uo0MbvWu09LCeG+CwqL/mb6Xec8ELk8gXUvk+9XJxMmbqpS577wsIoUF+hWXb+iul4kc
WXcppSqvuILqP/6uzffLSjLdYqStAjgvNMXOoVsQ4lQfF6X6stgxJgAbyAfRdJ/gEcvbffsLnkkR
modE/JRBFDZxrKj4vHtZtKA75smpXwCa+3V4zOlRfECPlRgFRDJNUvluidfErq/bHE6xvfenrFwf
CzAr0t3UFQGRgXGBEMZ7WAJMwrbZ1DgV/rFpH+kj8jBe/buOq4kOf4keppsOgI70ma9j/zr1EnEZ
0aywmy+NHnruogd0XXybhLb8j21bI0Ozw/emHZLfvaxfPwz1fgC4wv4uQ30ethLsihc42dZndEYE
lTQeCzlZVRjJrLe3Anqjqo5skzJ81mhSLZSofd8Da8Jg0Jke8nqde8PWXdbhc9qIIj64TeDoE5Ib
nop2b39a9sXZe4LLHyIsxDbB2zyCTPZzlPXTWfb12Lef4QczDNoUkR7WOxUsML42AFIxzLmIFU2n
W8tNcnaTajyPw6AJtCZYxhA19RcWYF18CxRiSOb480rgtZPw4Lu8BmDoq0QXfxnT4KNKY6pl7HrD
kpWKmIbi6zT9EHAMN4wO+CJZnZgQbSlE2YHc6KWK3ieZHJYnDCVIITbdsiI2uHOKwiXI2ytN3eLg
eJ3P/u6yGcaSDLyi/hrMo8jFxh0Std6x/WP/I0LHLM1+pRlJhWosbGGJNqP4yGhEYqg+Yku6Pq6D
G04PU98F071CgJN/mzUFEWSTZfB2W/Q/lplLGzsVegOFiwMxIO2I33DphhVFlh501gSND4GpcPiX
AKcT/kkehKoOLvxpyYb3wxzWHGa6W1AW3aoedq+GdhtzaUxqAd9D7J/N1awU+fxbNy7z7qmLcn86
JrTj8pvKayJ9MQu1NKesAxp4NS4jhO3tEiUm8uVTLvQpmlTGYWkngzkzu4hmCg50UTcoHG89FJtw
Pn59AL8YMh4VqirUlp1tJxYv1Lcblp/CHoIgVuF/bOHWRKOM/5eHUtcF+PySfuOP3+hkR/PYzRM/
z7YsOfioGzdbfd7BCBOdSy8YXhVXGn5ycJu+vlWPJhNvzpD0+QfzDAvrqqn60aq2IovNFV0rJGvT
MoGMuIGrR029I9Cb5dLGA6eWW7YNi6ZIgqK+b4zVa3goXIPS3Egoe+ypqYnpf6Df01d8MxceF/9V
FIokPAzpwNj6yvKWXH/pagi34BwX+pQV+k6MJJM/ooq5cLFbwzGq5ssEEAuSDdB7TO5WGFRZsdMB
2SIPAZ4+WG46N5madN9avfnuoTMRBfYQWCYepmU0xZ30bufxpzSiWpuuYjWh2rdr0QhgK4wFWhkF
X34IObt6tHS4Jc3T8z/OY2HuxYvxmAi2aC2zBTVzNVYKGF7UeybcG7i9gvaByduSyS7zW8Xozv+Y
jxAVkVjCtY7bKjwY6UBtppo3OKLkw+tco9CsuYoU0DsWA2Lp4QHAoFmiJrWeHmTU8H+pfCs2cFgA
UbsldVzJMrw5Z5/rXqMrs1mzkkSs6NzebGkvNj+KNoTgS/iKvJF+lRTu9BDmpcNboCaUSh+nxaa0
vJnoAPODqHQwA9mu5GJmVbt53g87WcarwFs+qvyl3xX2Q5z5eTztjIueiUy4vxTrgR7FAeBZKt3D
UOLjau9Y2zS808mW652v9cLyjxQYW28f1zPtRxIFpt23ge9PwMrgPKDqsQ1wt8jftSLLaSSQq5sv
TAtR2+KA+hvytJe5YipOA7U3dClQrUpZ86lMFPjtI2NPvk3nRXnrQxURDKugCBTotv3B/CnxmttW
tfESbQM79+ZqTyAm3Owp4QuNV7cc2xi3dPL2ZdokuBohu+UWmHCkkD0Js8GXdaYPnZlgq3nmuGDO
hzRQjw5Yll6XLVTM8HYAwWsWT16YkBIOs+7koUTTjT/Z46JYQ4mbd2V6alEa4e8Q2x57WOW+S6hU
HW4/oAxKvkezWWxLjN0tbWSHkFs03chXauApcxa0GsJdsI0720RBmqYxK9fOZTJMB3uQM/+SEqbj
74Y+MXGptJHWeB9DHWQhZTRiCU/Sw0NpPg2ZRXSYeIvsBeEMigU1wcfX7SVfv0PcK9L0+Y9RpVZu
PFuskUt7gmanPBAuOY4mLUNO+ZrWDjsPKWVzyA4Yg7McFxp2LV3RqNfEBx1llvdusXUPgpMQ5XtH
pJWxq99HLcPUzQpDn+vbFh65X+qooxr5UYcQ9c3LmVsst+OLsieqxvs0K2bXuhyLde0ZtEduChxt
bhJUV8ak+yPpFh4+bzn8NdBXpk/yECJrzltC7SNkY6PpRTp9jPLRvMEfy7rOZ/N32kMswtmuOSD2
YBO0Rp9ji6gGh5awWJXu3g37uJ83ZKKpzf600pyd69HKB3s6Y70pb2GWNAUdwpIRDjM0oYNPVjNX
/R92vVQPuMnFBWuoZ0B0FTRyAo3WTqP8glBDZ536tLa8m4Q7BRrayLz7lBNz10MZNm314hXV2t/X
LWInzzPKUPM7eLMVYnvQOduTdH14mCgBNrEvt9CGPYVuyoyWxW3fZcnSboLarsW1W3Gs7pNoQJuj
4xtB3W6XqDNang2KcpDMlnIyKf3az7qi36QrJ94ApdDDE348o/dHUA3aS7dFBxnbMtxpnbQbGfP8
Ces0SXG9zzjJKqyrqnld8VyvVhstIAcK5mlhc4ybYChvZhuA32GKw9Td+SRo60NaOFnLwRcM4ZXS
GjUI1xscgfkHEU5vgnRQsRkHhsXWhm2FFA3o82PouMOua+15PSXweOwLMYvMAVW7CKYeKP2s+TZL
XN+6k2Vbex9G1SFbcmFLlFQ6OEq4Kzwsw+IOQFuxE7qH0K7WxwE7aiClfRD0H9YQGFC7qYYg7KEk
LX6KlbI9hTKAf7VW5UWSD8VyWFvQ6jRgy9Z18O3qV4X8kKiLqHnJ0G6fll0ZDLr7Ghe+ixwZvKM2
ZBSh/MG+GJKm86PdWNp+FVwktVUGt2hEWWUJZVaS1mZfM7T50LNDSbAEL7sT/qBXYJHu4EKr7x0e
prj7kX3jW54E4n5O65bZAX4Q5kCVNUxY/8OsfciDO5nMfTKRT9kpOYqeQp9sLLFnNkwPPJj1j25L
QQbVuyiDcKzEBBI2N/7g5qzlAGc7ZF5gIhy6eSbDzC2diATKZTWnlXkwOUentUstUlIfBRmOHj+r
C04Zpo+ps14wXOU3GQG1JvtDIdhUDmEBcoZWjIemfnwxdnUOZxq5a25FSCssjXz2QK9Bjp1PmPSV
IrOHw85buvAcnyx4tsndYHDqWRLLCogiBD38JJKZMxxxAXs/iSZY3WPsORUpUeNQZ1uXqNLYPCh5
CU6OW9+vce28RF3b4YyG5eiRmsz0q3lBsgnNyckAduFO+zQLufYYrmG7/jFBq+TvWjSZ+DEb6R72
kvLbnvuHjmHiZAnNgX/iFCLmjppEKtE/x31s8tU4mYg2zjD2wWeGLE17CKDYNcCYYd2KwyClyaUa
uPT8UBYP5h0NbRMM4ttoKV3Gu7kS+Dga9Wv6BoDLkoV3G9u9z+snhmuTIn1v9wSqNqfUjxMMhBnv
ERy46VgE6Nhx98JNLF4k3fYibi90XlN0VKPFiyXMFOYORmVlLJ9/v4m1YwttRumuZKRhk/GLbT0E
tbcrRaMjqLUWinT5NgdYRM1Sw9n8WPWC3tPrZ+TAFOKR8m8cHqIuWXhiWJmCbzQy2BL9bZOW05zd
raDlkvhpKpkhgymWQVrPlyAmg+lhBT3JU6HwZJpPfT9OeXYp7cYkFfZQoBWJJSjSRQMoLSQGPtYO
emTLNp+ZvA47r4TjdwsZ1WTzE9I7vX+0Zaqm6G4dMqfNrwO659yPXqEXo1Lo9jaPOpUkmaChPbNF
IGCYhldTdPyDZIJ28VwIiAAf806YBeYmY945F50TMofbpa+nazZNqDZg7zWTqELSlGSBgdubfHMI
zHrE4teoE9q8geJbsoYNf+B/N/+arKRf7+YqCjkuRcZ9OdssC01qWAZjapJ5V5q7fd0e5eDzXVBX
bvmogHvcob52F3dKP03RnOagLgXqUuzqjrWA95gmJygOXu+ZtVs1Ttzc1CiUTMMurRTapVf8QO2S
1M6t5tuOqOJyrWbteQRbTrlpVuD/UuziqaXkY1SR989TD7AFCkA5yoHgomfPvfZmMZQoJPkO66y2
HVMEMpWkYmOKaj6I8mLSSwpPvvOg/VWf3NmhfgIhpBdmUw42js9ThgcRWddr5qNSeyLXUG3U87T5
EpckBj8q4mhtYhKDJU1tqq8m7Vz+lFKz9HttYRj+xZ3Gbr2zrQlxFTcDkIVUbNanyjqC8HPHh2BF
FcnaWrPg/VtZbIruMIhMFtYvwhT5YdybRD5lhjo9JHhF8NWM5hHp+hIhVrXN+8lvyFFiv10feesm
4q6io2S87JikzcrUDyynwOfytPaS1YRKSUwOjjL0lyHbN+HC0gepLzJKlTIij3rdes2E6um6qaw6
hmuvO3CneINN0L5YGM1s+kcM2bVZktjlzM0721uWpuOFrKbi9mNr4EUiqmG2ONVyKm8CQH9GEmku
0oska5bxfbCEq7pkUi6qY6QcagoONssjP2DGPhE6wVq0/EzsDT2xqugak4k6jUMUBxnyvWpE3Ykh
+2UHyoIgRcI/BltF58ox4vGTqQJfC4sqWc1Nt+sCsQpWQqDBHg3RSsXrTagooP4y5zarH2/Khk+a
i9Hc+og5OrRwJNqTYdhbS+OVN6GkOcI/XDUrCtyWCVgDn9HKtkuJD3mzCRBXWZkMIGJSPrvQGPhB
/Ro5IF2bRLcWUA/K3/S4/qZnFNETxGIPWDUSQ2c9I2TcAFwhofJ5SQZTZ05ggDBisjwN92+jxp7n
/c0lz7tqtKkiylNjTCrwAA6dn9tUaMM1kT0Ew2c/mM305nVpVJFlOrtv98R+vVSIDSaWJmZgxGjq
DDjqZOiWTXQnPjPJNvGpDTx3IikkWBO73r7W927gX9uU2NXRpgYIHwLP/3UqpWyhqrkq3c+LW48U
MiOmF6xEf/AytiGkfowA9mvQEjTGxvMVTZSp6vCCBylC3U0Xwkw2ELc3HR71Gpl/zD6aPjUlQoPi
CmdCGCAu8U877QJTBeDLaFBhYCScc4vrBa09hCBD/3nIxcJ9cECZspDDlRLq7Tf1y5pzaQzHjIKY
BEGaOO93k0blDoL78hmlFnfUx0RHxfwoVlAkDkU6Ssq/W3LnIxTBhwkDB6w/XVPnFwBx3ykoPvTv
n6WXmRg1LGy2uzEnst+nWKKxlZOYfJ9kQvPnr5UT2v07ol3t/wbLfL4imZr6KAeaqSrbTZyvSES2
lmmOU/cTPQlKR51ldKmiBszp73w6zt+yA1GEp8U7k6vRHDubuZUkhngPFuLT2LRheTPIypTmeUGl
doTEZrLGtz/rzwRjhiYYs9J2ZsjrM+GjffTzvh6KaCWY6P5T3zAnyva9m5gwR1DUfNek76pFwDhD
FDLehqWfcTK+fQPfKRt/3YGkWgBZbTCLIeSdXzjjVIlZJWTYfOoyG53MPbOstdzT9chiRA+/py1T
n5nUOPA8E79/NMUtiB+UFzUMOM6F+fXl1AVYFfpVPsoiAc3V2KVaWCsASC55xNxGahe5SIbNG4hm
A9E6nH1zWMKARaJnlyU2Gx/uMjP0YjeEI80jMfdIuZC+0aKDawu4dbjMGS1HyC6Wlsmt1ARKS2+t
3gmpYhSwTr5ZIHNyG4TGzBEvZS+5rfC1Qa9I7YmagN9N0lREw/eMz0GIHKHzAq0yIyGTIn6/jdKi
pzPpTAuwpxNOqLRl3379vyw4qBzoIhhFA+B3vyztkcois+xVP7VZ55KzpnIwJVC8DiYD+NGyfvuS
PwPIWXKEWvzCmNHATUIq4GyNMyjTQ6ei+SlO0W1w92OOkuwNzC6ntG5tZXMHBhk4UkQtAIf4EKCw
zd28fRvnTw4QHOw8eqD4lbLnvo+//0KtbzAVnPmW2VOJrFJ9ldcwpj845ez0144afkOROo8gLskZ
WhJ4A0M2g21ydnxiBp/mmVTq09RhQfzoF6FZFuB9TWb19nM5Z1uaXzdON9CkcKmgKLXPsoN0Xuyq
auCjNmqwo11C+3JID5BqcirdvJg5HTYMvGv+X0jDhnW5+G78SLHm99FG0talBUPJY+b3cnYr8lCx
eiZRx0sWR9mQIPAFMHlm2lqLZdoA0RC0bMIpCkybuKyZjjxMUFB4OKv0OYvSFCQ3YWWqTbymICiX
7tKCY66rAyjV1Lt5+yWcvW/eAd4fLg6jTCDdXyemPjD9uA7G5cNYF+ZkxlbRbDn8Iqmc376Ue7ae
zTcleGHLjMU1ff3z9Ty38L+l8JKHyGu/X2v0aZ2WE7rtHE2EekLQ6+y9AqTDW2iWxnRJf/ypn0bT
IbBmm5fre6HpZ1ILSiKdUysMRC+tshit9VqxVfGAQK+1nC80FhnsnbJJKI/zlaA2HX4M/pgWmSGS
VaFPz8Akslf+bmpr88FXv+Aq1vfpePj/2DuzHrmRLEv/lca8M8F9GfTMg9P38Ng3KV6IkEJBGknj
btx+/XwMZaKkkEaB6udCA9lVhZTcnTQar917zne+tybQzS09Xs1JljuZGlQtQLQRm3Pfu0YsjeW/
R2g8kazdlJkH770IUh5/4WTIgRbIny+p//Pt8zxSuz1TX5CaMEvIXXm3hGt+Qe/rVfQ17y3vU9og
RN+ajEf3buZXNj3+BFCvPQZnkw9iYV3ZEYmWZpY/9LFAgVuQWcvQFI5soE1+u3KTrr6POL+2iHHx
EoeJ35t7EaTXkAj0r4uyFn8CWC7syV7sXpImVJ4lYIjPeSMlM6f1BHe7Biz/cWaO3B+jhmzlVZUH
ur2ma5g9aLPWcTjIAeKFbdBcwaXEz2/nmnXuTU2/7qqp3jATzx8SZvhHUMFMCdKqo51XZgMjvM7I
n1BNOGc4UZDhq7nWDWSIjXdn8n5+rpLScJa8h4QWRty2OzMtirvBs9SDsCyQ0WC77GKt0bf7nCk8
FznAr1vXblvKokiRYajSLWOCqQoL5kVjOA4BSlhly/6InnLTDQGqbFB16aPCBEjXPFLZugOHezen
ipaYTVQU3T7NDnVXv7a7Sf8CVbt9QnJt3yfKUWEyuvIs81qCQ8QkPrLwUIb8q0hgQTBWZjNzKBUW
r+57OU1J+8ernbh44X6NV4GJR2Pj5mVHMkyju/cfLL/ffJiHUG55zS98nnebdTRD2KDVVrxgQZVo
hEb9DgadCfhQZue9bSnOfwRaXDMi9LIP6rFfVv7bz0Srw8iGTfy9Sk45bVBmdiNf6qLg4IqVCzuG
tAyEb3/+ke88UW+XFFcewgNyBBZn3LtnbDRlZvZoZV7ASPPMWCavC+jd2H3WY5J7N4Upo8XOpVUr
PXeCCiMhwK9dLxwXk2mH7AuxnnvZuE1wLLTau+d9i2+AvmL3ICXFi9kVslqZnWFf44AsXqWy/FNB
e/a6NyfzMUg5p0IGAqQRxll8aWFpSlYwH1y6NxmzOPz+NNaaYHpJy7hjlKCaLZg9/VlHIhzO3L8P
aqF3IjwuyVIGUAZxXbBO/sLZBTjRjrY/zS/EOXPxE2ElO5A6+X6cx+fCCPLPlhaMa2XGDD1qjKN7
uyBjdf3nO+MsV/6nxe4tYs1FD4Irgtf4uwLJyCLJ+CABSaoYHNBOa7LV6DteAOA/n7t1b8txTwDS
qFZCqyTTnlLuS/pW533lQqbIvVi7nI3Y3lvzROOsiYInKeinh02mnYup8E6TNe0KS1p39EDzy1Lj
pq1cBmPwR7uRsUtatlHoVYF3Q9nYl1vgca+Tm4oLy6vEDgeKsxdxWV1KMnG6dRm16suUJ+oeh2J2
rRU+Lwh3NIatZXYDrH/07ndDHiQ42WqdHwBtPFj1XcwIwEtruKYe78Rb29H8k0gme8FYFBEMFIC6
Hyz75dq9v7Y23QX86pxmf0l1hd3EeA1580stbOdCq630oRLWNK3BYOgXxsBZ4oNPNH4WvrKqPGpe
VLfokSwkeO9T6oAmw3fl1fkND499pG2mAaKBfQhYdU63DCI6dnonbl4qbM8PIh67kxCBfq31cBH/
vLTesid//vmUmmyfZPbiYDfeiwGbQTqtHxfFt3hkwMC5vYyeymYGB1iDrVnVupnR4ZAlVrHOoVe4
ThPX2QN0F2v6JEEQMvAEF9+UrvdJdHm/tH5poRdam5xnrmj3tWWNF65K8KA4HqBJjDfmsGrxeSV0
OHVJ+qLhl6FPQGm107gs2zTrtHNgJ3AiaWVopzf34oQdCiiOI6ptPPD2JiJVZCfJmJeK0sJxv8pr
0qlX/ZAyw2Xo+UAU+rShFmlvO3MsDonMrWbVeMhlWImMi0KXrt+VFYiCkSuKupGJJnOlzoWCFbZo
H86HCtDWqhSVi64W6L9xWGxeRKe7sfkIaUp8UsXQvdoCWzVehTT6qPH16/7DSgkQzSFdc7k/77dk
y2QSmo1D9m3JJscsM5CnjcpjYmrILeNM5b3MrYoObqF9mXrQTahHe8hqf14kv1uwICIomy2Uqza9
AZ6hH05GKKVaIua9/Fsk3Umt326IOxMecBLwZrDP9sEdaXhqi7st2lRBNH5O/IZcA1I8jLsPvsxv
HljfXnrLbB1oLd8rdmephr4cs/Rb7Onube0a7Y2Za9rao7F7xntRXai87o4VUIJDPlrGeVd4vMi8
vBsBPyU+guRi6E9CU9YryvnaWfm1yG4/+JY/nwGWZ9xF7wptBjCcwaHy3SXrZTTJoLbVN7redXxP
ZeHAOId3s1Kt3l+Ybp8xU2pn11/7jVO+JrPuYVWLTJBHlle2D06Qxyfdg91rNrZiQsJbYEvUdc7l
jlMvtGvGvd9v9H98FncfxVXSV/jhBv8aV1k2XfJf4XNT5qL4yXCxDPr4o/+QJZ2/KBM4Z6PM9Uzz
jS7zN3jGt/9a9Pw2+gTYfaxgVsQ/uQHuX4T/QZ1BQcxCMF2W/N+WC8v6i3/VWHoxAYspcP4tuiSa
25/edkhKKWUsVNFLr4Xy2bN+fpKx8tYSoXK6HzsfDzAHkMRbgyrHFWz2TYDQqa+wg/k67PNDZKLS
OhAiFyCHYp8pQnNwkSwQuiezDRaMuN5reUk/bIUbS+rYiLBfS+H4pylK7ENV4qYEM2UfOlsZ5mpa
/O15hekdFSQvlCFlVIhJkchIOeNrxhpWfgbfi4lRn5mnoU2i6IJH55/QZtjPRdMbF+Q+agU6l9h1
V6o0/WpnIvBuNm2mLX/EgjYQZqmYrsy6w8ZNi8sEQKsvTuYW9308OsGDpDl+0yyW+yiTFNJWNXrN
ZWwWWXnEFlz6R7wQ2NTZlu/yQi72/YSRtgEqGUWEPY1XEzuLwlII2QoRy2IoN80YW79hGXc6g7Vn
z8QUVlJH7a0+se7f6AuFVTb71tJRV7gSL2e8tG9XFXrth5S3jmA4JXCeekHKea4K5vYlbQRXoLBL
uAktEAfAcVTmo9Xwr9mjQVemdPDUx/w5+HJ8AecNNsBUd7zSrdi8S6MlFkhZLodWNxj51XbGZ/qZ
VX3OU53fTsj63JNioFsXri3kWUE758LKtPTk95EB6FeM52kk+gN6quxQCI8/42nL9fzuipWjxL/O
uuZ/+X5DAeJCNIhFFDyYarnD9FLR/+pz237CUTaNp6GK4HuMGVRJHN55Jq41afITyinlb6mYXomV
32L7Dp1ccV2GVOM7IikjoHuYbM0JPc2Lxa7uJMrbasGsPTaISqwtJiLCGgmBeYVOw33TkZg+IC25
6ebWwWKduPiaF1zATNLdtdeDB1m92XErQ5p3hc0C5MS+rFrJQs9GSPbbqeI0smzN/NNLIr5bsiyi
Tscjn4BowBrd9awGxpjc2cDqPGtD2KV1YHJGQk2OXqVGDgEQI9ZM9I5Rb/LoeUPVvdD2GOINUjxs
+gyuseZjT0VfU1GwrfwAMwYmmqqYjkWK1DjMsN7JTc8SdUmGhOhTEhpm79/ChbS0x8Y8DRbfW8wK
eoDMIJtYZBDi+x6A5kJaV+3LONp8ZMH4M0brzTqZgrH6rJZbRM/IOkhHgYQxWv6yrtbRlnAu3nh2
gSq6By5f2eAiSLiIHt6WsNA8rm8GxqRcHvZ0WaSR2483g6W4JAMHo6uRvJwrOZtwG5KUJgjH3OCB
CQAXrkOXCFAg91kwytPLs7xggvr9kUDYSYdf0BoOp0Rxs3U2DmGI+jMmy2ZfO6jf1q5yjTt7KKMH
LdWBL1dtivORN64EhYHtGj3eBNcBcOaOgegAMUlIfg7aTlSiSz5QrU/8W5AxWGCaxUPeohWJN1Fj
G3c9hordd383ckpQHUkZnGgYBqe5dheCgpj4G8rKAKORa37jM8SGH36V1j3UA61pJ/bTeA7Wel55
e9dp9K2ep8HJqYlms4YEOP7IxIDIyLEhB2RuiZfaBDwUQH8b4mARm7NjSbMckpsJ1/x5nDKgEBOg
JYjgACQCtmegCIQ2kcDA32MjmjlkGbjQtGPLQC5u3HWILbmCEk5Ghe9crADS158zWA/7ALLlDri5
eedZrHk3y4doS8unmW9bGGb2flRskdbMDx4JuoMmEyysEgDjxl2kz3OFnwY1wcYqZA55Kkoh9SD9
3yl7wX30A3cJp4n93AqTrdmIJtYUwacs8Mmdua1NmzvP+oB9PxwLw7irFYiNFFkHh69GUthLyPrZ
1mhBc5QFq5SeFE+EdGvjQpR47yXDdPTGsoqjTR8sK8czkMccbeRidWhC7HuJs1LsROKwumn739GS
wKcvHCOF9KNQCBmeXm/f1jxjEf4QSAC+pVkv619R410ogbOfYaDH79SXba8fjLq77tGcjls6guxv
TYvYgLzYZT0GE4b+ql485NbMjfy+paUtpIx15Q28jAgmb9Qh9dsa/BGAWoJuyFKmQcjTlecZQEg1
cHlps2/fnjjZ+/bDMnE0SGJwmmT7trOWZWK4uyHx6wcDjHvxMMTxlD06wzL+JzSDL/rGebOTznlG
GRBsUlRx10ailiESbbNkxNdfMYSi/KWKXSHBZAcO8tm4GGaC5fD46zzBPhHEeKAToumSS7qw6MFx
qckBqb+ihFgRW0k8qgsK4UzSL0pWjLxI2WM6F+TXc5p/S3VBWjIoBy1+4FWKcK7DOHO0iwVPlKEA
uSh5Jpt1whYDT38gKyS06sZ9KQv5UMZGc+Q4ocAzTf6wyLKt5o5p9KEMlhdR6xb5HWF61RnvGP/K
oBkY8ez21rapiZOtDaO7cPSFZwOqLOz9OLkXtA0htBTRU030l2aW9aml6xw2nRfqXsozwHGXxARQ
Ad10QBZfnXlpAGDzSk/sMgyC7hGN9baix7/V0BBdIbpapdLD6WU7+uPk5gQWwfqQbnQwjFKyq6Y8
4TaJD7OlE61Q6RXUStecC8Z/pO2u3NpOw6o05d4gv4Z+vl35oWZn1jYrTILGPDFvUYUPR4gNWRZq
3jABxingv3Lewt22x44hkLW2iuYIORnBWWfZ86VPXuWxTelpe2Ks92LUKoJtB+PeNvryXNPd4lLM
mX/0zIjVa9hLV9wv8T6AkVvp1UhYGRF7Z83Y6+eeFevMSzVnfM4xEd1Pnrwn1KHOTznhZdd1lhBM
0LWDH9pzE2x9nLav7dQEeJjA4bQDaBgE1OamdjzBeWdqtpOWBnu9r/v1NHZyI/1qTELGuRkDkjY9
95sknc65Xu5L2vnFdlYAhaZc6JtYDPdBkKKXF16z86LhCYBX6IjU+xLTrrpJHHwDRo472MqIbTGZ
YV23OpfVDQp344xy/Joq8w4WDxTyoW3PfZHM1xIfE9AMJbfQRuxdFPSAlgNhb+K6vauxZKTgS6iM
Nq2sy/MO3+I6yyT1yZBUm5i64YhNxjiamCP2TlC2aOKVfSqJJwq5aAVx0LVzO7qQUca69jdaAJck
Zcei3SmzK7tOgUT7Rw2/6yUvgYmSry+2sa+5hxyJ/XVcWqFVWMXe1Npm5y9vCAtyx3qMA7V3SB9a
tbRdPrfQ1tdATYPzOXWulZAmotlCv8ma1D+VU97d48DTTpOs8nql+R5/bqB2/dL1tOJAuphQfNFy
7VLRlZ9SynewR0r2gFKZpdyZTeTvPYT0F7qLD4M3r7fOfHurPGfapmUmDwMC62ctk59GbYmoNrwc
tHgDNEfzWDZgkQYdtFendnqUJaHjZ3XI5h+vCS7hRRQn3aEvnJcqie2N2cHOMSodwSyeu8PE2Ps5
avSqXkdlS/RoaW6orhsqQaEX6ynTs00HGv1u0fJfsPM3eKFoEa1Is/f2ejtaO5lAi25NGLkOatfh
lCgN/T2KvDRQbCR+w7XrHP2mH7Lc2CASbyZq8Zqo6BsRGbRWkZnZ+R7hWh+/sPnH2yQ1a8ZpRrUG
BFHQtE4iOOtlbEU70k81NqZGuHuE18ODlrWmz2sPywix3wYNs6rjBJLUG89tynPR8lwIqxseKtfP
D7M7JaugmbLtDOphoxKd/5p6YuuauX6PENBniVuytLWjwE7dm2ykUgRfEYjFp7iWF0nftY9oC9WZ
bPxzNyvakJdXdCuVqX8KhnbJHeXs0h2zup7EY+tWSj/IjMz1o0Zmh6n27FrB1gosVQ+b1NConGIO
btFlRAgT1SzAeDK/ROl/jmqwSPsoTdFNs31jLY5AnmGr2pEAUs5OCOZQ01foH/UhRntPxudnP5G8
dU1FbAc0IewYWzLKHXlW6whjt8iJwb7pzgKs6hszaDaOogZNmoRqC3EjhYi7DF1CUVf5dNSNebyZ
zMG4oxbNEaAOlOWQr6sPumA/d3Tejs54333GTQtL8RfeJbD2XFSdSPdRGUBiosdujY+zPStAmxNB
Zltb4t9YlwXYZnfFwOIj1Klh/np4R+uznOEB7vEtllHRD224IQEJMJtdvHfGwI9XUbF0YVVgROaF
Qb81ptiMqp2wRBKfdVU0F5uK/C4cfZ1xhzoaclmZUVX+0Ai5+t4q/q9CyatSMAj8P//rN5cFYR6d
Lsp2GEnvdYCFpSJi3u14X2iUfsA/QCCNWHkCKrIoDzuao3KtJEGfa62PP6J1vpPrvd0VPp7OpO9S
gv/SIS0mL1NFP3NNppyjUGrgLeeNU/sS9TEpRo62WDZ96y7zIu1gLOV3Yec2ue12XZmXYC8JO1/p
WRcne8YP2DBrrDivC/zpZmAg8tGU7Tc3EV2TgfYjMHUdPdtyk3+4iX2A+8fCHbQvol42RImNeJFB
92F0apzAqcOiksXGRSz6LO1suqk7ehV1wllelCNGnqL+YMBoLD2ff40AlkvoUgPZFnRQFCm8hn/+
RhrWg1lRN+ybVKNsdMkgueloST3AI6AO9LXl+Itkun2xDc86VD3nC1Jpm3xngOURYdtWyxmMK/vn
lWX97ou5CDcgQgMwct5r3zx8gURW1MkeqT4VKoiyMlc0wYfGG5do6ba4rZLctw8TIg76CVbZZkf4
hv2NsvughZQE40/XJ07L9ltdbKAM22mYuDaxTV99+8aihPWw1PBLr6cIdJ5sTUZ0SzKvGdX5RGPw
5fuhFHo8wNk3omAxVeNNEomYsIoUsOVSxz1jY2Ztza0P/9DxoGJ+cJ/eyXje7tMilUIiRQveZSjw
831KDK0WWG40QrYc9kCzJFru6DMzZc2MfHs2/uA0mX6v3RbmTPNklAlfaxJqvh0Dl6sVWwanE2dG
4ZPmNv+Ri8U/RwRY8eatPWSZwBxXQ5PSpVGDisW+jOmAhfiK+3gTY/iDUi35dMZ6NG/cbOpZIRwI
Xt7u/X860R91onVgLz88Jr90os+f2/b5K5Ctb13X/kj+Aau7/Mm/G9Eu5J9FTQcz2UE1C7TnH/SP
5ll/4ayyHBgVDgJJZ+Hy/N2Ithc4OrQHiM6OjrJ7QfT+Q0A3/mJYuUyUkCDwBiIc6f/+99fxf8ff
yr9fEu27//7jS+N9G5puN451pAYGAvKFQvTzUsbr7GpZpVU4KvPXpCS6QvNLSGU+57wfrs5vXk+/
+yQ2WhtVlbtwVd59Ul7YhT2PBp+EkZCGQvVUFYz6CBNTHzyfv/skPgMNPtNdG3jSz7+JBEWqP5JA
992QqTBS+mXbE4/q1h/py37zQRBkEGmiMeNnvS8Dei83iKiZq/3UZq9Znr1y2H9N+f//9pXjYxw2
mzfB3Pt7RAULudIZKyzTdA8YlNUrognzEGDO/+DSsVbZ0RZRpI+z4N2lYwyMUo5f1EeyOY26WvR5
pn9qeBP/+Uctf9OP7zoWHoUCQ0PuE8OYN53ZD29fr5e+RgXLZHJABOiq6WaKx8Wn+/D2Wvvzh70v
jd4+DCwyXEvTpWH27mdphlPybJbVPkDdugYzAZIBg9qq1MSz7tOiFHZjrQygk//+UvTxQCDSRGrg
/hLwxYlC0WguKooZUd4qeiGLLwdRWsp/+vNvXGrOXy4osy52BSDaPNU/37pZpWoSpaz2muLdIFUF
L8PkpPHnT/ndkl8mav98ClvWj0UTRhS7R5LCpwSjc2Y240Mvh+JIcvL/6NL98Env9ouBWULZF3xS
kqtpjVDgeaY84HX54eP1yyyOb430l9oVTdkivHq3PMpIOjh/K7mvepy5Fe1rskRhqlzNtpw20MyQ
2QYAVms0kcieUF+mOcBHq7aLI+1HF5dVSVfShwMCkbIYvnqJkOHbMCDwMC4qL3udmC4e4tnozyuv
jVZNNS906qCsaVvzr0xJJDc6EmdO85az95gOXtO2MR8zz4SLG6XRUy/7iUjOEXTCAlMtpyLYDSnr
OfNGF6HERCQmxrARl1tNO7rraAUpgFqbzvSK205D4aIH8/C1jtjljc7lu7sGn5JCOx18VBNh4vkY
uCc7J7E8I0RVtHwfDSHvM+lx5Trru2pbgo1gQDejQHVsxwXlFkVk8qo8GFc48IKdGzVgEvRo3CAL
A/+MvD6UOr9uxlgJvNnrQq8rMDB4bC5JLCixQRaH2ODwxya0OsIe5NIR+SNNbGA0Z4belWtf0mv3
mTiGJEmbj3HSO2djbKRPsV/mD6jSOPG0jNJqYnke8Ym9zXUYkFTSVjPfqWe2gM8XXqWFZc6CcmBT
YWt2kz/QLAOZoLXymqK7e4q4NGdJWleXrkpfdbqrIUwR81H64nVsh+i2cyEVD8vWmLSMW/DXl9m2
yXXKNQR9eXKVCur2lIQIBKH8Wk4XYtfHkKkpA9Aw5aYqjiLmKLeC6yAuYqsKLlM3Ll7JLzMujDLl
Iqoc8ZqpDb6/elv2eRsjUCKj7JS4XLKM4NLHSKHamm2ksYh1YpDOy+QvhhnyFGCxg3WKWyByEqrD
vCPWE0pu4+Y7gV+6OjdUXwVrRCLAJaOKM6JpIIQmN3OZLrh60Zy0UsyPvlY4RKpl8pVjSXnkN2K/
7Ng5CaQAdosF+gGwJ918AjfTkLnKkuZmAwmBcpwgTlMjlXAzokYOUIaiXIrGDHifWRFvx2mGsIEl
7ApHP4+drc+QAW1ecfMU+LvOqnpF8tJQJbj5tbjfKb9InwOohNug4Dki8tSASRH0+e4tOmBogv7T
3MzZjkFLl28HXB9im2K4mjczCXs1vfAYyZs7ZsaXOajaF5NR2MEGSWvgfnXa+97rqs9xajtnUBPY
Q5kJAUtWmnV0dZSziz2R2XPGncBtkz3VzKmP5MUXm2YBptDbezX9JDiRo2wd+SIGmkg5ofxtmScm
ktSjmFD3DSnuGCk17pCyePUpi10NkY6/dmDJ36ZYa7N1QhP2W1Ghsiwyd5nSJC6JyIb6VLVAp2g4
LQdWxUKYB784LhLANhL1qtY6PWyNfBc08TdM6N46acfbojb3RE1+oZ0pjhJi1kZFlXvGq9C7ThQP
pVHwtXQj78/7jtCFOOM5twnFXZmVlz3SVpvP4NRtJcIjuD4jJHQ5ZC02GbE01LucRc2uSLMnr6Z1
QRvv0qKo3NYaT322RMP1fUWftEUQNjfsbnLo+p2xvHcrm99tyvSZ8Y1/6SPdfkYG7l9b/SJYiGkl
pXZkHUe1mHLYUJ+WOX+o51O57sFVbZwWff0K7khw2RVq+NpqDaFRccuek9iZf224Tb2y9fzZQVz3
RuMO6Qd61zBCcLE2DT41b9EzOpaCo1VmzckYFDvZW6WlgqbekUqg1injcDRDqK1dJPVo7JAPiNbv
QtMwhq/kch3gsRarOGh1VrBubhqRX1pVV26TwSIysJXVZVsvdTXY5zM8VSymoWaWignVDjNc/qDB
AqIDXGVs3nbdIRGfu8w3vukDu1W/rBGHZtxFBqnqInXoefYT6eXeQCVBtkTnXKSxs23tlHFf2ZAf
by09oK4cwx6L5D1zh+By9qJiPeqAcW2tHULFHSaFW2c4GPM2uOsZ3oW+WxTHaFbyulXsPVrM7jEE
PPRZL7nmQamw9Dv1Ki56FKeRqX8JDNWd9RpcXPLhLv0MhFvr6v2O8W+wk0GsnWNVuLTwZX3S0rS9
nMB7nUfp/Ch0a3j0swnd1cRo0J5xQc9EF2yKhBTnCjjUVZ599upG0pBNXolujEO7E/c8zw9Nr8d7
AFraJollHaIAqC5tbHHw9qd4oRx/0ZxSMYPhpfc2nNVEkj/UBTsvFD56EdI37gQAkzKcuaXV900W
lXS1nbkHW85eA+770Qt5b4P8R2WisDE4drPD/LYyjaQaVt1bPuf0ltWZcsirWSIpGZ5GrKPPGGo9
WPmVB/WeGSrc/76mJw0jSciVFb9lgr7lg1bSvG+lKY8DLq8j8Q+IrpeQzaO1RJmp77FmNNOXkLNp
APw58/LJG/Y/Sa/2pjYHMaz1DM/Pzha9TI70fyzyl9GI9z7GalXiyXcVCqSQWrxR7moOGo+hENTx
lY937lvluOhqROwdRiYRRjhMQQMboYa0UbeQvrgGXjYJ8rC67qpwPfpjqa0CFaJXTTcd8D6biZrC
QcTe0z7BLso6EGH57ZBaI7Iag6zIpbi2Fz3B1EMvS7O1qPQvtq/2FSGJK20CJoDGOEGSwPPFxtFf
O/hhzuEqaYvbj0hxzTanHc+piYM8bVHvEdu9N2vVbcY6es4SJ8MxaGYbUy9xbni18UkiN71QvKMZ
m8aNvi5sE7t/kFvzBY9r/DXOPQM2qtFq6LLHgNJSA1k1Orq/9WLJ/sYUn00/pjrhtESA6WCj0VlX
/OA9owTkTf7k9B/EaP3SlvSBSHL21xl10lo27HcVNrSw2EaZmO9rXqBr1xz68y5WaE79hjqho7S8
mCwNPb45U1dkQbOw6k2HUSOhfOjIPjqo/exZoyuwfB86BAa42eWw+67XDaOfJHu20CUe7UHp01mT
sacC4X4ucnUTTbzm/nzE+OVkiBybzDg+iSwv+hzvumukaTgyHqqcHBKKsCJSjAcB3u2LIinPMNJ/
ZGl6x/B8+4Uor50lPQxdrfXewVI0FDg2mgs2lJqcF3aJci3aoq/WaSOfO42s9axNqAcdfyC4h9fO
UM7M/BNGHdsEvUcYZegn4IMBsWh5r//5eli/nLm4IA4KdQdcnU4n6d3xpFqa+L6tIKVIaR9V38rX
0qp5poZuaHW5im2K7ZyMHBhQKXP2fklBMSD/XlYGhbbgR1DKFEffrEmQNTl5ouajlZhPyjmzAZ+f
CuSsp8wlD6iDnYieRkXOPo7Yla2Rg+vGZsR/a9m6/Yxsg8FFwD92vmZ41yCDeAFHcCgfdCHSp7e3
IpNOhIrDnKEs//O1eKfD/n6v0HUC43RdmvDvE7Rips8pb69s37nIphytLTGfp3E4WPanWnjaXqNs
BG8DQcppEBPETfeBFeWXc3Zg4SbEnE1/nsCi9+FZ3eQOGIgNsQ84b+8cLYbdZQ8fbQO/dCz4FBoV
OCVxATOmeHfPsdL3gBRLsXdtimc3ZuMqKhfavgkCZeXCqCKThsNDAknu05+vsfmzyWW5xpQo+CZ9
5NIGo4h3nz0Zmd03+ZCQ9DvE0Z6BcXDSosWpoiiNISk402WgIbwr7OkhC6b6VaucYdNNvROH0IwS
sey3OIhqACYWmbUV5aTNbJL6OziRytK+1JCmuoMWtRxc3779f/rVH/SrGUUu86T/f1rn4eU5KX/s
U//9J/5B1BvGXzRn+T8sZzxcy3vnb8E0vWtazuBA7cVH67E9/dOlDv4ij433gwkYwfmOtf9Xl5rl
SwwZC4nn1NP/Lbk0NMqfu1t0WHXm4nTQlrkrAu133a3MiGrleBGQ7MTWDnGETfes8KYJ4ZBPdA01
yeKasziP6YGb35I76QRfsAR8S5h839peZjmhUVp3rmuM9FQ0cUa3fsSQZfpIWavC9eUKnW8AUNaa
p+5Gy824pj0BxOteL+pIW1Hw5hY2ykC0u75ns73wTOLKV0Od+1vRJsUBp4FF1weRn5yMeI0Wz14b
hu9sE0H8xwZ1w3VGB6KBwz5ERPVW1alVZrfDKVIfma4PL1ABn2ym7S82J4nPmL29nU5A1xOxKHpo
O9I9uFb7bJFmxu/1k4kDgNkkZ/OUjHu9Km3KJ+J/ilSLxrXn9dsEPmsThfSR4r4JvYpqsge5lneU
xmJILykjzMeeCRMp4NXaECO8RJHoaByL8gYcZLHuO/0xByF6PzrjdIk72tpVZvA4jr676XW4VlYv
r+1UoxmgGvOikbI58NBHHOyFOEGRHg6Om4hzSIfPQVc7imtdbZzKzc5qEqN2ean1X1pGwocpchad
lZF/g4rdLCd245tlLFW13zblPjDFN6XMZhOgg/4E2h2LTSx4B9SVD0xI5v6TaSoimoiP59qUj1LI
xxob+3lRV8yVk6H/HHWas7HoVWxsNEuhU3mEpXjDErqcy96BhiwCeevNAKhWkZ5Uh2VF3td9627h
3HLKJWczA1ioapTHiIn59r23LrS+J826t9xpXSGhp8OQGfGNnRnZ1TS182U0JHqYzHZ9ShBnkwCv
jw6fYpWbpWu8wyLVkE6mWeJ2cNv85MhqOiWTa53TPU+39GiGq6Gpm23RtuPXDq4haDfd6gjH0qpX
jFGpwp5lGzsJKvPUzJHYjxD3Tl0EQIRG1xC/JPhywryq8IsxeY1Xk6q8M4MEmHIlOk+/GOCrYdcN
ZsavtIeKsEYDuYr9Vj1Y40ReUW1N5jazsnoKOUAKgsQSjOuJ6YSZRr7DqpRmcNZLOaaQa7Fohn1d
NttgGE+i5kt5tVsd23lq7+PGA2bVUxm8lmouN76fB3taVu4JLvgLxHsdIjJe5yWe3cWdiAyR3Bc6
BVZlLSxQPXiEMAvcrfHOqqgQV9L3k22OmuUL3cwcK7rhfs3qaD5ijcBO7vakfA0NaTWN0Q2fgtK2
rrQs8taM10AXdrQzwyIbprNy0Owu9IkVP/ouxGXgqFqymZQ5X3mOXW7mOihC1x2LdTda5qFFf3tD
+IKzg8mgHpzEKa/BTiEYw3yGjQ1xwZlWWdPKkYHPQSHgJ7kAJskZyAP8R95AoEXTTxtj7tMddrdp
I+D03PdjPSJsrSksOYeskwA7a9PZ0Tn4yObKdeu1gWr1TgBMvEETtG+IELoclE6CzegdkeeIYZXm
5ngQkRz2/uCWV0jGtI2xkLA5jvrTLSf06ly2vXlnQiR6ErpRrzU3i7AeNMPBn0QSHSjgvNsxrc0Q
CV1ojZV+Lj1toxflcB3bdXOacEyGbJ76Rau43aVTJGEhBRhbvQ7WsTXoh7k2MDA77v9j78yW4zay
bv0q5wEOHBgS022h5iKLxSJFkbxBUJSEeZ4S+fT/B9o+vyW7W6fv2xHtdtgiqwoFZObee61vnWvR
lAf6i+ah6Cg/E6MrkBnXJtCHMNq1ZojiLakRDdVziDXF6h+UH8/fGBHWgdLceT+j97p3Z1iSfIsY
IvGFxyTe2dnOHWS9hqHfr3RT9ackhitR5rrYNnUZBY43Ore6xFZYVSxEfhRPJL773otV6fF+Jicn
0GTub1rRz9o67WznhU1Q7Ump0L4ZKbJgOcVI+R0xfE9DrToLhFbXDqcbjaviI1PsLVJFtGmMnOjx
auRQPNKCCuqwiV9MFfU3bZFfu6oajrHvlIHVtvXJzKP+okob6y5sx4tuJP5dF7f0Jzl2q42InHbH
FC6hXKeX32XeiCI/Ft+iuRw3kyvfiVVboucWUX2YTXHQOrZ2A6a3YZRgT59r6ScB5gB1dbzJX/dW
5bwMXsyzYTk1Cj9kbTg25W2J7o4FK6KutRPxmuUj+Fm3Sc5GWJY7pVfG21REYi179SkcWNLNaTb3
9uhgayTkyn5IMO8wLVHeofDzK7LSA6cHfeW3DPw2mQ6WbVVyjl67yXg/oWb4rEm7CNKhIFbUKemT
5x0eaK2Jpic9cpqjbzXuMcIN5bGChv6edRMXQK/fdK5mXZUaLrTLl1OlngMDa7PA5t57TGd6J5Qq
Kx6JZFf6RnnjKHLrfE+7ZjPtGAkqARSttbSPyshDf+sMKDr7fNNZQxHoXniTZnW2q5xuOIR66q1K
pSfridHBgQcq3mK6TXZRP6BhlXmzASBf3ESYk9iKwuktTnTssqPunNTYue9ILfMvLQ3Is92hd7UK
+0F54pNOQsE5Iyv0Zpos9wBdWO08stMWIe5I/ycejrZTvKUq7Q9x6kbbJkuq3TjM8O9U7jorqUXd
Efk+CWxJJK4dRNuLQvrOZGS00T2n90ZUmy/aVE43PrsyqCQjHD8bSaLtczXaN0WdpEczsbeVlS6h
mfpd5ognqU1ipXtFvklKCz9RNEI59qJ6h6a8uau9Hq17Bydcb8JvXhaxBEZxvPOAZgNMXlp9CH5u
YiGmU00C6jNiH6T/HY2LWuXNWji2+m43+WNclHjWstR9yELeQg/hKeD9AQVOrduRVXVTx8Zr2Alt
hZgyvkPyepNP2nwrHYmFzRCfiF8sjw2Ek43Q2nGXkIS3pYkbvrbDLHdCJu2r1EqHHiyiomo0x4M7
pcM2d7rXid7TygeejGF5XJHKUGzyIX7TBntet7Olr1wvVUffn0lWjPKT7ElLd4S5ElUxnkVeRbTn
9SqIdTf/RGpe+cChKjuVjcdWb4PIX4ER9NK7xXezA4dcn/NIbAvHWljDentLaVquSyLydqjziLiN
zejGBfO8ac10oMpOE5sVP3UujV3LQyxyYysRE63JHLWDSUyvncFaW7kttuxpMtQdCWhpkNmonJno
lFu6EvJt8EL4rF2jOKRknWNj5osaKIhzI9awKeU7gKr6FY1dwAyweysi4h15I5AfimabFqVfkdip
tYe5072gSDNtH6k2cwK3yZBOGCIrbxGiZ4FFp2QzwbSMEcZHX8O+NdeiVIAuC4eKj6oZN0yW3nHu
RXGoM4UxAWDrYc0OOoXGcYmoBf7FaTOmHQOyXdO/e7DHVv2cY37rGVlVMJE2uDTw5MwDdsI8u7cZ
eNK10Gd5Ih1AD5rSTA86X/Ur+X80gmUYbtxyqLtVhBTj2HYo+aJY69bNlA9i1ZCZ9gzDDEG8gUZ6
lSj9nkYnal1AlClogd54l7Wb3ykpWRBGMw+sMINBXaq8NB48GQ5piFuM6eh7ggzbEYTJ5n7x6Ep8
AOIY2l6SnXrp+dUjlgCuWkUKsabNK7/kpLxKW8dQRM/lhjsGJUOOte0nmbue4wgwDF14wj6iWX6r
nTr+OuEZXXFGsJ/5mepVi7ACzeZYH4h1lO3KGD2JVc9LaAR5zW1T86eJqKpeLJ48K0PQzytqt4Sx
NmsYaeYuce26QjMsy69tqBu30Ci8A4noiieYYu7sDs6jipmXNq3tfBV5zXRauao+hbY/bWyaxVcY
CdYqdYr2qBV1ca9PMf4ai077CqrSsBd57y2rAXOepjLXZDTQfZ46GlNRku2dNhcbN7fNk1524tjq
iAATZJBkA8ZybTtzscCueD09q6tPMhnF585Y6BI0qYil7AzNXIGyzWDnTiluNs8OEgjmL4Tz3UUp
kmUYKL58gJoTrUdaImHQD0q/xStoBgQwdERJ4CtcdTYErBV5PIyZ2IXRC8oG809ncEbu6IYdZZGm
jxHBDS89R09qpm48E2IbPRS26rbecrEhu6c7ze+pvmxSV8+0qXHcYogaN85Q62jjOxj2YQFHA4Z9
uhuUbx+yri2vfeQzlmqM5glenvFs1F7zXFbRUwgE4UZgNU9WqtS1Paq/eiBATcdFOuon1y/qB5Ac
XbkOifxzbwcZi3vmI2+uIqljVSuJn0Ijti3wJp1tP6F5TEAv+PC7LJ/zzyR+pZ+gQYY7z/SNKJhx
/+4ohfpPWTtMXxcQWFCbIjp1RVSveUflNm1THkL40QqjRW/PK0oPzjoQ7811iHPvi+LUx4lfs7sV
HPH50rheFq8JI0yubeRzEmPOAVMZb8emo0e4MV3lH6ZMJIdYqfTGjsfkUCCYOeco5snJdbiZdO1L
7lXqE4aD0F5Bx+DD4auoNsSbzZ8zlgqTO3/SyYR01Z02V2qdDzXqfnPMr+VyTrIYbq9aJeDWNHp0
xCO6INNNRAyJX+1JsTSClLIM0n25HGQNu72xLQ7XSanbywoW4RRtJrIXuyQtmueqn7zizsjSztrk
s0Mx1hjsAkCluxh3Yex0CORoiaiv2lzq08XwtXTvYPHlF47a/LnHJScfFeM59lfGc/TuLoPeWS7D
1wFxKQYvC3jhiUvSet4WA3cMN7ozKmQF/7cQxNKIXpNnFcldqLkNycuFfPpL++cfBHk/x8Uv3AZS
h6DTcCqju/OzKqpuJDZhy5jOkdaBqPXp1hrmyDdSHDQPOl30ahbWbkzNo5XZW7QSWzs2Np4b3taD
gsncb/ioO1+lEFp+JbH/qef9+3tDSI6+1kWX87O0rjBGoC+hOZ3ruj27NWfFcJ+Mv0D//dOLGEIg
4tcFesqfLwCRPpKid5zOoNRWy/8cDeadW23/25L8yLn8RUsSIdVCsfnXLclrXH399n8OXf5Wfv1r
Z/KPH/yjM0kOJvxciA3IXYEl+Ahe/+xM8p9oVi+sSPenzqT5Gz8BH2URrCORNfnq/7czaeD/WwgO
Bv/6J63sv9PO0oD8sSuJZoyIErqmvAfeFw/vj2q4po2GtvBZX8BTET0wx2TXZHiV8e752J5M+3kq
xvEW4hvOraF+pk+hHfTJPZsVnaSgIAdoXXeiuPdJGbrkg/5kh+AowddBH63E5K0V6pNDS1ERiFkj
tQn6DoZ891wD4qccMS4p5c2bbxW3zpTfWtqEjbgOoQPaPu7VgpPESA7H2CbfB31IzgXXMVjI5Cso
tg1lHKhLaYMBSnR1qnz9AsQFrU47vVVykis7g6UuaLe0PQqTZWxbkFm4wSF3di25mxCj46cvv/sc
DyeDjD1pxyuRDFt8x7dke15EOp/0iD+FowHvavKGrI4TXqPe7T475qPxzlj7uZm7bZUj7GiL2Poc
NmKftB7OHZ2BFLQrBd3OOxu99ZyN+ZuLDGKrR9NVb7Pb5Qr0BTIzkeXf8edTL0Z9urUWgYiFSAUW
A0v6OI2PtCSuXimxOZlOdIBl/j7RCtgZsYCAOZO1ixRILegHbeq4MCDjKfaPhHiaEMXloxPP16kW
z7GVHSOZv7VNysDPPruxxb6DcGAj+ECLEKfq54vI+a5mq0cxWCPPEB/hnKRv9HFBSczkzqy4UGZM
eEtoc2z2F5RjkqFOGzR42j36kA1AT65lXLwNBoEN+ozkj9PxHCyvVaNG2hClfGH+d+nNaTfE6vQh
qKEQPZHtg5Aqi79bsNg3tpHcZpk8mXw5e4+E7FWa8AkrZjcqRONDLEq+TnxLW2cdLzQmXkrbSSga
cumxmtFaCPResS0fC3ZKOZcTMVKEgFByv5X4OjZ0m97Zu0+jGZGrFbfJOWtAUEn9i9dYd7RrcSUz
KJ3JEVc2Tu9GEvPQQCnDxMWNau2jgu9I0yF3Zz2MtGFQJ2ABILMnvk/Uw9YRBoi/IfWP4p8tCbaA
/lRGxrtvTRhpl6iLPsqPHK4fm3Z4FDInfoDMBd2pCAsr5KMVGjFiJVRNaPWQlzlg4g0q4+DjuhMm
cvZ98Vw1Jd1WYZ9rUJ/bfvk5PieICarvyXKecbnOe1AbuO8Nea5NrX6lKQR7OQXG1S6SBTrA5ChI
ZDSUXXZA2si4bxbFQ1PZ44FwO+8gR027y+I53zSqLu5KrZ6pCPPxSIBQF5habr33aCjmsXVuDA8v
EndNlVDEtdRvZDBwEl+7ZAi+hW7VahzrTfJmUhpsT/BGnwqpOcS4is5HWWRi5o/Dsyiz19ai8Mtk
vpGxA0fOStZ1P7ebRsjYWLfoptNVAvng6H1gG93mnGvxpaxoe9IVfaqIDQXob9ubcbDfZDm372Vp
ckzV0niTOw1dIyYRtfKdLU33YW3OVXgxepvghJLbX6Xme4X4muoU6GA8EhwmTZJBXIQpvAv6jorb
kImgvpYYyu+E7g6EQXDTzZn77GrOeTAbcuXG9rs2tScm9b+Y6C7zzB+V07D6fc/BUkjg499mrUlK
fw+yc7VH2syxc2jQbHrynNjNrULL94sR9k+HDvYMgHNsaHDedYEG/qdJli+mgYBIt9yDvSU+xsiO
Zr4w+SwW9L9spv9wwPvbDNlDzgBxmBeDzoWi5MfdaXJdaaVU3nuzz978kNVwWY5TYyLhr1t11YF/
0n8/6/zgL/mrn+RHMjyz4+U1Idg5RARASXSXa/0XWX9klUDoO5ivc2/HyPNIkIFaHGhA0qdFI7Z8
XnAyp7Zjdfv3H/dvLrWP1ybWV19sfchVfhKO0FmYVDp75R59v7VOq8K7kApIJGKnn9KKpBlEjO8T
iqZtNo3jMR2pWGGJkvZB8kbsQDUs1WmIMNUpRIr+IjYGhLkxvek0EV6/ws+wpP9wr1bpbem00CrG
qyyiJ92OcWBJcSYAkUzBCuGbbVdISTlzB4I53frff9J/uIUY0+omRjwD9trHAP8vF9nMGVNVpij3
sdltRaVf6OnAdaHq+sXrMED++cnghaxl6Is8/W9qC38yPMl/5F71YUd1SDxnAyu+nrMII6MjKM2D
hB+hIs/H+YJ0rbiPFzKTUNH3ZomdWo4qANhJajPliTKDPtw0PGq+c7Zo4sH6pWVUo5WPIsY0jTTl
c2Qj8yois8a7CkZu0NvuWmbySS56WsYb4tgnXrGZHDLTAFV8p51IkEOG4qVl6reTGvE6ZLF40bAF
lM7mXVt7zKd7uBmEUpJsvjCmgOEiqDQHZjszrQ3s9saWfvFrS7UZuMYvJTz/sMKgo0BFZeiALYGL
/fhUKFerGgHUZq8m+qkcJyQrm12bDj5ta//vv7S/6VN4ArGVCb4tUsLtnysnksQSPP5zCY1gvIJ9
PRbVrxbMjyfppxUT4goKreXv2NuW9/CXGzCJAWjnul7uK3+st10izUCE6n1Z6RMFv5QQw2Nmir2v
mWfiUGKac/lRk+HnLk2/eA6DBrMYWxLiU2sPLJFN1md1IjD11jCi7ygyrY0b0jvKLQcUu40WcwBa
dZMnDJ29+hNMc0TqqA8PYk7mIF+ybVGyoI7xoVaaLYWs5ZPRxHBoGQwl3+2SWxC24O0os2NmR2Qv
OSkHVGPi9GsAXkazEox6f61KM94IS/2CkSz+4Yn9Ax/JOozVz/zxgpVm3UsyIMu9kVMojHFBq6an
1DdhNNwaMVcg4bi1zmfvXNgOWQNdq6+UUdz1YL29MAPq4UB1nEKscz3m8zUkgucJbfva010ssqNz
DoHkBOi2zjFT47XdshLV+HQJZJufdHN6Vx01rps8YM7lVNXwgVtN7rJYf5o5iK1qUoR3Vj7t/Hq6
Rja9srTl/hQ1C1/nQKD2NZEyFEW7biLA9WsUqP/+xv2Hh4Q9Y/nLsHyqt5+u0RQ1kCGnsdwjaV9z
xMFZPPF2SIZchXX0i2/EMBYd5U/3sMcuzLIGeG4B/v34lTTCmjH2D+W+NbtyYzgdJpMwPYbsVL7B
96Mqbkk1UyAxTOgZsHACjHIQDhwAhyp06PsB1E+KkRBCR9H3yWFbkpKGmsG40UbvjgYxfnKf074s
4cxbdfdepOoq8/nE+JfNmNsssrK3cFpOqThtUtqWzQBbVVa4CZJ+M5IBsu35Sj/KSyWktU5s/qDf
ZkdH6/mJehq3dTigYyHfDPmuvHwUQchjqvXUA9FDFP+Y0MtaM7wZAoVaeGWr6bHtIwAgwqcLNT6a
mXGBR3W0LE5rhjusMVATOsY/0O5tViETv4DU9nFrCHTBy2PUSftcudMjES8UEDY+DhK1UBg0nJb0
ML2VTYbNruZPM3l/blISLcue2Zdvy3dExOsJSAZy2+Q2sRjt+5KjOCiA5zQeafAS22FV9h6O4VEb
0+OHbagFqbTq+/xIUbwrQnaWJBq5MXk6nKm/zQ37Ne7woWWGfR47JsRmS1IXhZFUbbKb8JecCCY4
5714NlvE97+4c//h8easg9AJDj931M+S1XxmpGaiz9l37vxeduO109n3RsqsEBnzejl/fZTaJBVj
cvpILl2e+RJW/jx1yCtSfqwprHVGXDPB4f7aG1vLxbcTQc8yvXLjy2He54tUeUyyAv29SDbNImIG
XOjf1i3UGBWxL/YKAwppo5zyXetsaqwxaT8/jRbHLb216iVNdwhk1Ger3ONkHVEYsh/GFvPmNOKY
jX7psYeLt2pNuCgeJak/5LfjMFyFPSS7KnfkJmkzi9GKOhXxBNiwIALX0HCiV/O70ykSKEGqEDec
7rOEoFo2EYrM4dFy8Odzmu/dP/fX/4r+ftVhW3TBf7lX/25ST5C3D23yQ3ft9x/6o7vmoeFbwMau
CSOVftifrTXf/o3jw8+CP/039McgIEwMECyey4v/0VazHLSAwPc4EXDIAeAt/pPWGsryH5dn9CWu
ibnd5hiDNQGty4/Lc2s42AeBcB2RBDG+wWSx8NNFCgp1VTtifNFpG5w1ztnXpJ7Ls5p8pNteoRtB
6Q/pxgBH9JD2mZqZs8rsDv5Vis9YK9OVD64KjYR1xDJkrPAZwjKyPYmOmdhPMoYQVdC9ie34NCLB
u2HOaLirysxvEP5nFzJDvF2h+/EuZKy4o/GEbojg33DdDZnzEYt0yGB83A7dHK4V1m0tIJUL2V8x
eeZiF3Q+J3SbhsDFLgLyAV2CFQ8YZjQ6JGNZhVcOi0xxEm2Sh0H/kmWqenOz3LtlCBp+nHP7DX8g
Yg7rgMYMpXM3hdJjaOr4OUqzsNIPi91in7Wm9g4fpPkOGh5TVlqCa8PYDWLcDJsgLmrjQvbNgNfO
ajkriukIaUxHWpylM5Kr1AQaV+lBakOIq7Gu0MsiWvocEWN56mqlvZcOAusVNhrzrClUPnPSoAGQ
zTVl7svhwhs/xXXfPwBrkwVoRtV+ITM9em5JxqVBaUNhdnCHDEy/fLZVrzzgo8QyY+pJe4htP3NZ
/ohXbeh7wvUU02cHYBtXusy/5Enf732V9OxLSfKu9AEKtt7eaSqyj1nb10fiFhUqsZyhq+12W1eS
cEi7I4HppKPsYnRnRtmzn3AaWnGVBn5boXVbs7Py02y4CCeBx/FBpZ8yhwyHGzRH2j619XiH5yR/
rEoRf876JM6IQqwt0H3UfpvCsVNjjUCGIV5sWhmCP27AQ9OK4XYQTN+JCdUtHMbGGG5jhWeTtGu9
C6aujNe5spbpoi+n70lqDkiJpFViISLLe1encXlJHEajopndm6hlCmarGS1n6xW3NQ7fG1OzjJmU
nwkhBR0+F/1ZVTNmdBVnOX+IxBeGPqJeZXh+dm5OBwn3cbFXtYKTOboiWldeSUJkYfv3UTjHweRp
SDOKMYjnce209jnJ/fG9dK3soLddswBhtXg9dsO8E5AMT2CynG6b+n35ya/S8FkrnEg7hg1Ks41f
usbXhq7uQIL8NFxHAqXBRc6Z8dL7eVgGETy/e2Mom9d21jnm1JPxlrVUihiw+vnaTW7u7YWVTUwe
mbXvExMwmF9YUqyAZyI7H0LDerJGPQZgFYsvg9PoaCUFN21AnnO+p1ftvaYA3G8ZMM/6gTxR/1GN
GSfiGQwdHiRacfkaRGwFfrMs3sh68D+1CXYyHUmgU7cWzlln/mbX7cxMGaxgSRZ3WD6n0dAZkE7T
3uXLKtuX3hWcUmY3rQ9oCvt1oY0DY1TOEDexKXsacO290THdoC7x+g3OWdigXisYi9cKIxmbphqH
bi1FnawFADH0E31zzCoDmZ/euXTxYqRKrSfSXYUEDyyeNbuB5tf6bsxFcjXx5O2qRM8ko70+RDfj
tvqLmcU0QAUr6ogNeA6IFk3SHb7X/BDNVnOmvUH6sF9Zy+afCC6sW6SfMXo286qhBT+xooXIpCJZ
eoGnTfXr6M51uxeaR8KA7tOvtPW5uxPw994r20XF0RnpeJmbWWNx4XTC5BiKIxYSMW41L25e8d9N
3xpSGl9mURq36BiwjeJs8eaVZdMfDJAzNXfx7IeInUyQjU48hYcYc7QZGHr9EGVdzfHWn06t0yZB
kWfN2indo6hn8izKMr/3USqtyR8KD2nGslkZotlJvXiMSnvYde2E+5I2yLjq2qR1V1o2lwGtW2fT
6FJ9VZjpQP0aSC8r9GIbvYoRjuQ6ih+5eGaHk8gbpyRwq53q5LPSwPTsZzi9mf7szZmTmasYRVzf
Pw/D3KV3oURMToy8c2cwl98i+W6vTpHrVyh+0YVlUe4YqKvDiCzOFmV5bTAuXQejC82VTp7809Q6
5bOltR4dWLecjvEcZU8etl4WqYnHysPccwFTWVyoRZttFxU2UpxMnH1MbUE1KqTodhuxbLPlgSaa
Exqs/rBtEP+la6srinPq67xdJ9NAviI2XHVMsHjUGdOujLZzbhqDt69kb97adkk91NLBfRBe6xzS
JJsecat4iOfHMP5mKW2myx0Nxa7XmupmhvJ79qu6flDc44eID/5eJw2exrm10cEC9JRho14zQRVE
vaKpfUTq9TYVM0Jgo0cw16OBIwSZ9WhIDHUye+Ue4iSugmJKL1hO2pXdmNZdSF6uYJHNwuukwkPl
pOYt6IaoCkolFl/nUF0i5VIdcD0fUTIYN36q2j3LhUvObUubPkPYvTHNyb7PfRUjdhLJQu/EI9Y2
suZ19H4+zsqd71EDU6rOvn8YQTs/tSG40dEAic3z5ACRHKqWvhNyDr6iCIyjmmd93aclmVQDrYr7
ydIRt5Ji5SMVdo0NXCl9nza5uBuIbLtV0KgPqOQTRoPMxMHAv+sVmEGGdWa1sju7eU5Qhb7iK8gO
XaXVJMjEmrdKRpYabr9ljiFyLBCMON1tMqbZJfSr6bV23Ymaw3BeyMb2oMqWPHnkwJQrWMAmUcbT
hHm+bU2zeihn/5mc0QXwG6PRPDVdMxiIcjy0uDBA/JdEC7MH2/C75uK0XdLtSd5DQqsIHbaRlCHL
uDGdPmEfQ6OpN6u5jxMEvnjPjZvKVPND20RrCV9u3lqx425r33EDkoCdkMpkulcGudInUoi7Yj/0
Wkz/zLKTN5NuUhmgNdXtTTupNgLU7chGObSSpBz7XUU4sT4cuWVNymZ3hGvdvSEQf+HsKz9nmVa+
p6M0n/x+cB/BvtZH4O+PDeaSTWE1xcFtujpwB8ytbiWvTq5eWACJGonf0t55cYdp+ALujBOEaEHI
dvbw4n5oQVwvv6AL3kyi0G74csCIAyU6lFnffLeUTQ+srxsIZdh+vQQUZYLDspr7e8ueaEIOg4jJ
+Gv9CLCDQxe6UKa6jxXnHXTHk11oq4+64L8l1C9KKFroJq2hfy1SOL2V3Vv31wLqjx/5o4DyBZkR
VCuUKLYQvmkwEvnTOKUjQ7ApihzwMghNyIz4f9Yp2k3/WzktLlcDDROdduQKxn9SOSGQ+blyWshX
1GfABJnEOD8PmJqwp68aSYegyNozAmZexrR2mPWACx062MMNriHuYQzu5L6H56qcDajLtq61/lpB
LDYe8qrRCd7sOgeR0kZTshXhntw5gw6jNSL8Ajis6nMW4wlzt0U7FmI69zop4BIBvzuJQHQaMs5t
3+WFcwPhsXtnOnPPAsqp2jA1UlOWRzxHaT9vO577elkAUCMo44ZOFutC8/siQfc5VTtKgE6/KQkp
t4O00zm2uh8rDHHPQ3PB7pSxeIT+S8fxGT38x8rUtmNan5yyJQgH9PyzhnW14iUgnm/kx+rG6sdK
Zy2LHu0P746cKeelWZZEbVkcUSKmF2X37rYaYBKjOGYVBfHKilp9rK79stBmqsgP6bL4OssyTO3A
imwsi3PFKp3L+ezpLZgMjPbzgb+F9FIc6y5ZFnh4RMamXxZ9+bH+j8tWMHzsCvrHBvGxV4iPfaNa
thBw4uwm07KxAPksLsOy2ci4CA/0u6adWrYivzPno+azg61mCg+NOEgtAaKUJl+5H+z79GNXG0lW
vUOV7e2k7ZCFsWx/U9iXj/GyJaplc6yWbXJEYFgxw2KrF/ZoftY+dlVn2WArEQ1rv87ZeAnhWZJE
1Cn/2JeTQQwbYhGGjbaclSbsaFtrshRW0mVXn5cNXoN9vAU6p+1QFqqDiE31ri9Hghi584NajgnD
cmCoPs4OYjlGyEE5o4E6ehS96RC89sf/94waxvhWsxfxZJDohbugUEZflO0xrWG+lCDxuymnF04T
Epqu2WpXlIlIJpGG5N2kNnrM+Pn9vyvq/4/saxk3MxD61yvq7lvVRsnbD0vq7z/zZ09KJ2sHhZZw
GQOAhluaQ3+G99i/OTAU6TMxYmblWgzgf4b30Lz6c0nVf8O/DJqT9hGzYM/8T1ZUKAA/rqgknvpI
z3ymaizipu0s7d+/jLt8syqp4SDFWl70MmUscn2XVRs4bM/krj+0o7Yv9aF59grjeUaiD/CLVU2O
x352vY3SGvNgTTz+HcfIVYkn6uAD5tpR5NZrV2vKoB/99vtMo31dxS70Co/VjjqifqXfrF81Exk3
KabDmvmMCmovSbahVi4kIfeaIti5TCoBAN6TGQMMhN9GCWdNTbPpNNNcz5Noj3rfBs1Y3MFIIR21
Ryab5vLQdq66t0HsAsyY3ACh0fAIDyALUKNTYtEbWgnNuJ+Yh++6PvrsCE6p5jTlO5egidteT4xT
avGemAUmF2YoEKI1p4G072JTyZ8GCafDkmo1N2TVFe74Vg2kU47WOK1bUcsvSelHp2wSioEdQmx0
b87O7iYdS1br7rAl0hYROXQDy/rap9LaisEM19gFl8J0eDPHeQq0nlm+nxWIT+AspQqyrMLkiLnS
R5Xultei6bb9R1SbdhfOab5hYZH72vKZ/rmVcfUR0Tz3o11/tsd0W/jLWbMvrhmtSWLVyIhYpQBQ
MkiS+W1bW9GEJAAVS1M22TMexuQ+s2JxsDpClzGX0tyuo7F9aCwtfDCFAWIho0ZYaYX9Adppbpi0
JWcCrqZnEg+7r+AK/SdZWFmJTW1gq65cKF8jAsIO1fShAXRyzyQMM1Vu4f3PzdHe95ZXv7ig9p0g
dcf8qcxK+2Tnsb8j0hC8NA4ml/lhDpks0usWA6bprUlTNLh4vknX84P71Jk1PJxuAbipSsdeA36Y
ldMr3YZxVkadAxQ/OcNfA3PGgWNr4jx5dekskDO6cK9skwCf1MyrByy/xUYWQA4NWhRnev2M5xcS
cSRl+lrX7EEr2qhJtE0yhu0F/KvNR24PBBXqzx5rEVo9ITcUDkvdAaERCDsONxu757ptPPHWkMTB
rHLWv7QD9GPNAhhP1kLPVeXgvG7jccl5ApQwyhmIGbZ145GIDCzhPb8S1y6BeTQuyaOKuDXtIcRb
hUCFD9/M0Xx18yVTpKgWA4szEFRR2Q5+Fxxkm9rL+YVGL6HE5y38j3kEDCP7on6Jef52CTHX7kpK
dIihTOD6uXGfPwHfANXSiO4rGxy8KyzW32zZyks4EM/58c7SMK297TgY/PocMOF9pBbsno0TAwdK
7N0LyT0otL74nhexOJZ2OTx2qcDt6SBK50zCB++tAnjmYPefUG7zB/MwNQ/2yCKy9jBpbHScDDtk
6Onrx52W2tRgKxX50NWMGXBMgnVi4wm/uptwBMeY3tMBNHGTPwl/Mj8jwoMA0hfCvafAEYdqCTNC
IgEGq2UEaUaDKwAnLuqMAR6ihsQiX5nhhNhuKvqvH8CaUq+cO46+8wmZl3ldTHbXqdGKTcwdyZTV
t8NX31ywMnZBG68MJb9oBE/WujO5MzlenocPvIpy0uqhiRqfQRRZNB/fVjEV1UOC8ccjMiikEWP0
oxdUKVeONox9YxCMEa6g+eMcxb1GlxDXDxhBvMqKTAFYt94LjbeZrBmGYIwUzzRiz2MzXwate4Sl
SIyVXb2WibeKSF0MfO/W7Ic7IPoXxGzM0fp4X6Ttd3vyT75VAblDFFia7lV21hYj3g61wlNE22TN
JMO7od/NQhfaMGXoA9UziZvm4rZnH6OTa1XDzsDDfBUYN+icEQY0soZniDvXjltbgeGWgqnzfCZU
dj1JJDj/w96ZbcdtdFn6VeoFwguBwHibQI4cRVKUqBssUgPmITADT98faFW1ZXfb5fv/xsu2SGUm
Eog4cc7e38axrCp3U9yJ+U7OWMa9OkaQN3lOcnTqPNt5/mjtF9K5dm4DGxR6QRP0APEAwbfyWxUD
CdPmd10hPUUX0FxloPT3lVkSs2naXzFOnyoKR7ZJFJrjoO5MHUcvIjY/A237ugyYHtaqKw+0TpFj
bi5VUSrySTsiculNm2PQOA70U2VZwZhk6zcci4G5JuTfrkl3QBrxWKGORuWZH1XWk0dhr3zBqUOp
p5EfZNOSQ6eRHx26wlir9Tmfl/JseKY6TSzCoeENyIUqLMyGP1yamBGkqOsXbQzWNns3rkmlcC8t
N/4xWxwjtMfoxZBww0g53SGv/YHV5KFJPfd7arrpyQLd9cV1BNTPPH9Cjpm9LotQe551evlKe4Ex
VIR4dYQ0WH6E73ZcV9YDNRanOKOBv0NtYCEgCE2AfrrsviVLH2Ge9pbbOaFLuFf0gHpG4qZBb2ht
6e2OZnVdS+eWajT/wG3V7g0nkvewKKz9BDCSInvYBqpV3oScrWjJSbP53gH/hqtpnhdEPjSYmteh
wIGlvc4nqH78bEQrhr+a3d43tX1EHPrVsIwXncArWHT0cZJERSiVjwDwphxfni1uWsv+GOFpCRwe
Q7TCVfzZy9iHq06FPaO/68kb4j1FApQKFwGca6fyY77orYYgsjvoLGe5TH004Wok0GYO4jH7mG2w
TwZM5fcucrPvfdsWF6J86JXHXRTWo0CT51jTAQnyZYpLtSecxLh1o6z+wLx9DuNEU1kpbPxT03q3
zdhMXypjKb5MkKZvnZ48IJsKC8dSijOIp4iVvE+HrX9EX51sQc+H+5jF1+Pc5/LSmeSIgO9cnVvT
p+XoQWw3eCTi596ZxZ0jSRDLlTlrvkTmX1EbC4JjsuHatVuLO6aKsL5h18Qjuk5sg/NQ39aQti9o
AIg90na5jzodPfs67R+mfE2z/doRG77r/Urc9rFnn6kU8qM0ar1P5yIK4E/WFska84+qNM07Wcb9
x6lNp1OTuPqTA8kPRhl5OoSYMZRxpy4UDAYCxD/nnBDFK2wG4mLULGCNNPWpjgg5bdo+CzJsg4c6
lR5vq9BH4K5vbld49LqjCQewMG7aqGoPharbozYxlg9TDr2jaW/mmuAGIY4AwJyg8NaXrG1rmFgV
0cIzkopglbncpfTWD6VlQHxrc+u41uvNTFD0sd1Y/uYQqYNddOP9mlPj5bin2LnQxtCLKB511oEo
ULl4Ub1/S4579x2sGAWIs/QHv3Hiw1BEDWFwGuIc+YvhANxiZ+D+340e8TCEItyBjQUpAooJd+hk
P6tmPmJciMNOrY8gNNzbOTXlrve87LhU8uhMaRcUst3XYx1/J6XoqBgc7fAtFvsxzYb9bMzzJR0l
Q7qsi86Tjq7TWD/gSrNDN/Ky87I6mFAzOJ99mIkkl3tHrQ8+BvJSXrkDHvRxT24TjMcjY7gsRhSe
6ZBHmMbvjg9sEZDsCxGzJcTaMHa5b8TMWt2pWOYz9nI4nzalSk7Ps8ztPRMDwoW8hua+PeRzxmwG
LUYNKTJlsNDF4yZdzb1ptFAQg+qGrVl+msElCMMfD/h6hwCc3PTIBHDdy2XtbuMM8kA22tZNb6+f
NWLw/do4D7jkkLsisX9I/MoMC9/O7jCK2G8dwrUgM6v1TXayv5ngQBxSOX5HkmPuJ9scbzza5CEm
M+tizZx+dnbS3ftTYV5PrqMfYkqVPb51FWJg+QIBA/1sOWSvU48MLxWthZQ0ii6lSDFvZ/guct3B
DxnTGdERuWZN1BQMBqz0aHj+ky/6zZZiXa2KQhvm2TfXxNRt6bK9dSSJ7LX1NSnMLoST6V+WeHUq
UnO2oj9e2v7NsCayHnM7w4ZfddTxHUnsTmqf28x/NMbBN3aaWgYvxNjnZ0ZdXkeRYC3XVtqKDw2h
lp+K1ihuuqT8ygEUJ3lt6gEnbb/aV0SZAY6rkq+6LNn1hS6/uaOzrVkAiQ/k1o+HVhrtC+WLw1hB
zQ995K8BNdCDSjOb+fwadyhlC3XBr6ZDd1l50ki2fnboMl/pRlXXa4EAMtBLX9zllXbtAP5p8lZp
grV2OMmBtMqErcDw4axsXo6aOqDwvW9ejGIhGGNbPqRD7H3qW7d5WVVZva1JzaB6RPcmWPJdKCfQ
RKqniqIf78jqXTG9rA8dC+Pek+s5XaJq1xDGzga95rcpRLYX2RP64WiGwjs4IAgLySCqd+A5uYVi
ipKs9sjxqFK/f0JV0jJC6DFb4G6mnZb2K0yZdGIKy+wJMFGru/EHxNTy5Ko+PbUaRjzO/u/5TOsb
SYXL8bG7xr5acs5qPWZnxngfJ33zQFDSGuaTprqFEbez49rbtxFmh8z3ogtv7CMHvyh0wd4cRFZ6
58IRcfufPvr3/03Xh72dVsz/v+lDEHD1/Wuffh36PzZ+fv+1n30f7HyIpElYd+mEK3KRkRf97Pu4
6jeE03gYlLvlINCN+Z++D1kZNNk9QjYsJkoe//I/fSDL+M33cAR4QMiwQRAs+W8aQThD/9QIIpJj
SwvChSLp98PI+LURZJsLfaI6HU+kHsvQTNJinzDACmymu4uTv3nGiBGmXnHGDgBF88zpOBYu+cWT
eRMYvfeEjzy/iKLPb2bkKgRK0ktHE2fqVjFTFuCostHHpm0B6xmq9WCp0ggZSqkdAZM+MzGBa8kZ
cB355ocmGo2Q1iXWQ8vL91K78y6mCwO21xiDjB2Vxow2wizvPhMs9zSAr2F9Q12KROXNEY0R0p7v
QKBSJoKyaokUaj9LpnsBAyos/6st9mXkPovJeMiUfBtbXt6xMTLWGN3iHo567aaB65jkWbJUmhWf
x2nmfm+0+rMjM3/HQsM0UfDxKPWQ45eVEY4CAkrrncnD6imUuDQkVMEJxFWwZvkPMxczsiAuZe21
XWhwhMbGyCWw8vgjH4HLYMCcQfoWkjBJOwkiVTA2FjDgyOx2Q2LWp8yCQl8XccG65PCnufWBurXf
b78JUprRKCKxHaoYKGILl6ApVL+3e7mS8IdgABjFvoB7gjSHhd22MAlUk8K7rXlDCnpZSPb7x7zb
UNEux36/rn4sla5PWm3wZVoLIVM8k60eiWZUCEqQls3LMHoyWjl9dUYGbh858MGiNtnVxmiyavrd
E2KS/Jr9IQoIBF0PzWqs6KG5eqrjRSfbPXtSPL3fJKkGnbwwWgkbl/tALuoDCaWsvob/NHlyhLfC
PzDtfRhT3lSc0UxCNgADI0NXUsflfHF9kjfHZruLen4WUd5tCnwh1HVn7l3OaoETOTOXiRtrKMom
KG37lvv5B8KZzTbBWy+m9A3vA9/9yn9lEeqkUYoK9bHXBe5Y8zslV4mmPqBvt1lvDN35jGjaz+/f
dxl77FNE5gb9xOeNE24Z12/56jUj1YFT+wUE/w8ecu5qh5/1QFUEnsutUm/PAiDl5WOR8J+Ol70p
yRvhycPx2uS0lbhcruU+LSvfPKUcTxfI5MvklesNjcEmwFf42cVYFzgu37A3cDOR9EjDi4tRNTwU
E+2MG0q7t7KezH1kuPpCcWHvrYibtsi76LJAHHoou6wJoDiw2bY47dRGvORYBgecCL2wbC0uqTHy
HuKku/I6dPcxBI5rpSOixnsEGbnLQ8kB5xoqX7XJBbjLKv5wnqr8BtGLETIgMlAFJ8U+X+Jib/Cc
GMWYfhgT+/b98aJ6WE+GhLowW4UXDrU37+ohq3cAzLtNQYRxNTEqhC8qR86yPYa5h8Ri+245Bytg
XJCTiPBkCeEWwLnnB0Qj43ja7vIV0+GhZh59JIgg3y9l4R8clRThJLid32+A7Q7nEf+QWmtFLDLL
mD/yfFvMrE/vX3M/TIrngNuIwHHU7ZmMXptNUWeT4BWsBAUGCDLFKUKUjuYwfUsX/mWS+Y845/0x
9WRdocAOSs4LgVnJ6GK0Q3WN0nO+tWdQbFP2JuKU9EN3qq4huOR7Em/TAB4IPBub5xTLrqQrBDvI
dbjJKrKNrwVuSWQILF9uVjIMZnGQKwLz2Tr6SdFhkp75y+Q0MtRUsF1oW9L6Ygiqza49g+xD6l5h
GpvT0jgZZPLuRYET1o0lixuB96FwMRpHg/khQTZ7XGW1HJuexaSxxjGwNR87GnkLExofiOX49UqP
Fax08TS9r02mP5v794d2TJ0xELF44u9O7u2WW6K1rQ/mki1kXCD4sAHase2gjFpQqBw6h0lqXhdG
uIk6rmfHAohNGIlvQcsuFp6A92vN6CMP85K/cpB8r1bl5HuLrmkoCBRj6Ajv3S1EdA80BvVVrYuj
F+kfmi6xSyW/56FvYDGynliiSA+ybb96BqTFavON1tp9BulU73MspWKCN7N5TAkCjC9LOmOOEEVX
UD0Oi7E386k2dtXvJtYCEZANlnHnUBE4xB5t4ndoGdmbmdVzCBMJvG9qmE92nBcY0aYmu1nibrik
EzEZO2VEaNGiWDKKzAwNGrlO+3v4Ig5nd0iBsXtof4eb572xn9+R52RpgD93tBYXTBWvghL4W4fc
0UqNGsaimvMfWJrF6rBKIOwNeDAIJ67a+uCX+QwSqxUankoGa7zMrFHQtiBPxpRedOODjBacsknN
vAV+6LnnyrdQsvQ0OsTnJbZQWGI9LBgO+KrnuFswa9cLYI1be3RM7OBmFYmHaqB8SFzn6Q+l2P/G
KeriqiBwhIAktAq+ou7644CrwKe1WnU7QGJcOLqvyY904/KrynsaWlDDds9TZ8F2Dv/+df8kVSBm
ite1NuWDg09JGX+qp/zFMjFJN8NJTu+LHc+gSvNv1YQPd27+Mejnr9XbRhORDlMXHwL1n15tnWJh
pWs1nIqFG2SrBPw8EhjtO+P3z/UfMc0/iGlMRCd/K6a5/T791wuNoD8eAX7+0v89A3g2pfrPMv8d
N/zfZwD/N9eh+HYQv77zhv9wBrB/A9njUZMzE1YeB4g/ngFQkSgbVxkKHV+5/4r58Renz2bwcW18
1QbA+L+Ia+To6NEw4vo8egLCUF7FnNtp6d6uBSarf/l08FocWbCMIgMGmMa55o9P5dgZaOo9WZ1d
NaHJHhd5m6EWfF64Atdar/7+719v+/t+ccTZoFK2/CsD5jg6uz89H60gbrfxDF6vJOQG/EZD6Go2
kzrSz5Y64+By1B7WknyanNT8hyXoT4BnUvo247ZjcYBjQWfq/+uH1YJo6BpU1nnFIPatLErGaAWw
s+tlSxWGuuA/kzbyTx/5LwsQr8rV2la/DSCz3TZ/vMR912ftRDV5bks53+dF0n/Dd7ZND1MGdbGx
/OsXdCQ3KS+HOMHgVLq9oT9ICTKKiYaywT8lIqqvXICsUOC2SZanxBeFAuDl779T+ZfrykEVWZlJ
9BQX9y9W3aWTnFSieTwNNa48KuqoM+/WlXJ0500WKQALKtpbj3jGs4sS/0GPdvVcNY07BWThUgfF
buc+9IsJ8KEd7WHckX/RXcvZnz8vpvcPd4Ht/j/eL35MjvhoPHweduvXC1SBy42zsidMnah760kQ
uhJddXGBkjmuyS8odSyni6xBaKC27G35xDO4PAifhAgoKo5zYZtS53Jp7NdYda2zIyqRewn5dH1V
khFORzghJWVkUF7uq3aUtyXE4zLQuU0XazC7rSZp040NyJHm0NizvBWtK9r94Bqw/sXC+JNu2H2U
kkW0QXxr+80bFdFHTruCgmOwZmZXrbLne1rdjMpTUlb8U2aM4lPGiJ7MltZsueUiQgA5knQLGQIc
nxIJ8BpNarqFsaTZfNNbzO0+wNuYrisYIdvJOwPQgnLehCbEQtAuJc/pPHYzlVU/3/u5ZnCBfrp5
GTKT/l5rqLMzojgNZiKYXrxSjfcGjjE8l3pl+ZqNzKc92tqvXsvcmyRh0n3LMWpeVNLPD0IL+WT3
1M3pmtqvcN7N6owOeH5x6t4cQNHIGpAEZ76HwWr5pE2Ob6nECEucfIU0wMxygrgHbyLWaeA6eisz
+qi15NPg86WttDSe6dfZr84WdfweAqzVBAecQCAyx/15Cw9/D/f6/V5Nspi08USl03ADwrb7VmRE
OO7wWzcv5jI23bGbRvJ2RbvkCfPEKC3PuaYR2+8c0/eGfW+ZyadkJI3Ya1hPwz4fCO4rF4v7BGWw
9Vp3CCuSuOHh30J8/aX1n2n7whkHNrBZeQlLDawYdUOLRA2ZTVPP98OwNFNImbYx58yueUHzUAI1
IORbM91v+ZL8RKozeW2Ea0zN9lm3LJmdFxMk9X79KbdRZw8eM6DcdUNgBEmHwsQ3bt9/po+wx5SL
kbFurMlJ8Fk/JG4/hlPs+4eBjnkZJNvj4fQ5/VKY4FF0JbuRLKGxmwYAbbPnPyAblbQSephWw64v
wPjd9trpGnvnlbk5PzZORXeWxM85Gg9FxnASPufWuSlSaZwn2bvkCmF1I+246/pUHBcDcArtKbFE
D01D3jpVts1hALRwH12bq7+8kIkJZ3ARmpMcE+H0flqEOX3quPzJsauq8diZSTXtViMnEs4bRVCj
I90JmxmxFXdPDTqIDQWBLa9CK+qrItCJns+T0tah8TJ1a3t46cZx4twIH7SPa2hN5QCvtYnI0DbF
ArYZkmnnJvJzZ5g6bJLFgTwzyzvhJMznIO/EJNON9pfeyn2L+6ubVBD76Xw1umI8WczTy91gmMz2
jXq9RREUf9Mdy6ZTpu6lShPntjEqfyPZMCqQFdjkHfcu2SQrQMojnYT+mw80YQo7AcI45Ob2L1bU
AxP3rbHzMV270bOqur4KpbA+9kmMCqTVr5V0s9sMzLh10lgERn5QcdO1xsgtteQ2k2XJf6BPGOYH
tjnuZTOi0X1yRMQuvXmfl65vXmzZ+8/lktDycmMPKpg9jvPDCh4I9Si1RWPJ5gVyKmlNYz69zjWT
0Mx2WDBrM3/KhJF9IoqRB8tfbAUjGT1NSqv07DW+kRDtR64Y22j95DD4ZNhZhVA7rfggVenZF7tY
Df/T2jXyS9kKsZ7XxBq8syrbVU2BbDrEoS1E3YtjKvW2xqPt7NsKTIzfRNeTaOL7tsuSc8z0x00S
/Vz07etSztvqn8rnrvTJZxu4Trj0WOftRqYXDCbml0GgcQ7wFRk3jT+5j5xBYK6mI4kECsxWiEJO
BjyX7pUV1a1HqKBZoTE1Z8ghlvlcJl4T1nPH3JJUrSnEgKJRcXEaHneliqpbOJLWWyEVP9+wY7Uf
ye8zozffm9J2p3UT1YfVq1OmoHE+kPLW5eKaaIOBS1cy1lx7O/6MPhAbm1V5d4DEaNTykY6ubGBb
L2bUvcDOoRZpetu7Vlv2IA09vlbt++0e3IDFYmEVcXvbet1yxoPu3QoOss9tWZPaJkAffzMKJFg2
jLHNFbFy0+iBO6WLQcvHs9hupSHGdYjGF82WSUON4avJmp7hZXkeIdkdnR5DOTmgSgVF4bMOcuLn
PbkezI20sfgfSV5xC86KbBenAOYSxmbOet+O7WlJyAQIiIXpuiPiI+8auTBTRhKmC7AeJosW7f75
vlG8vGMzEz6+By8S9U7yULRar+uSseC/L4FuMkTt3iU1klufBLTkvp8qGoJDM1nX0zAY+Bltsona
XnTfKkVXbycVqht2Vm2/gpaY77vUZp0u7ZRs+YWRL3bLnmjnC30mCUXr/W3JCnTGUScZlUQkBNuX
i2voShfE5I3LMN/3I7Vv6aGZktCBl4uJ0xU1yLCU1nxD1JmpAqP165fJ1E1yZ6I14csqGz7rNK68
ZAV/wH2wdFN07BYO0gWMsUms82I3MT9w3SCeLecy5B2Y7lTbyyPkefvFSSQL69Ji8pyadgZ3XjCh
ZsuQ8dPkrsxoa6Nwrq1VeUhqUMUi4hfGpRkS8aNvEUwlw0Qfj/dMlZMK1382Z5xPMFhadnIN1PZJ
tVv2U7zFYR1a18pX3km6XVF0UejT7IVtfUBCzobZslQ9Rts3moHkfl2HcksZ7fgahdScGnpzNeiC
2F0j0n3hQTXcop0tG/HEQmn56KhUDI/YlwvYEumUxIn3UOR0edmqGn9VDVujXtLDkqcilh8zj2qZ
XL+pt3fopGaSF2p7nxq0YYOoKNOQ5nG0mxx0sqWAsIXBITEuudUmt6rsR8bMCby8ZNHhbNn+pcjW
5oavXz/UJEWd8zERn2fhpxfR0zOCvcrWs3jlKTYdiaeXgXcxTDafQzshVFLcw65/RdxgFMBs+BB7
LOkKFORBGkyF2lWWu3ae9bke+3gX94V8qCyWGMbemMDJ9ySljWYbHJcy/yFSywYuXEd4j9Fa7noN
FIwncCKSuvpRYd0WxXLnz9Z05r6mMBi0cUfLxLizSxxwo1EGTreUp3mw9Z7aOHqcaaUdMjbRMNPJ
RDPYgqjWWzczKqIPfNvsy9VcXNj5yqNVblkVAnKOVzp7IE83Q86whXi55c6AoPyxQTL00tamuq2J
UK8DFRsUkDOxmH5Rhc54r0r5QOVX7bFjGj9sJ7LBiIz4seHP+Rn2isqdGLecRLZ+t7XDF2INPMIH
G8FREpaDUdQU2mJskPFGI8EAw7itIInBCsF+xWrYZ/XVoE1xdtSim5suL7hJy4TVJnVa7siVaF8a
fXOB6mDJp4xhD2X3PxzFt1PHL0djYEocOEhgg0NKt+pPR2PkWZnPjkeOt/1e9I8zSrR2K3z//rj2
l9MPQFFIRfQyOPZbHNx+Pf34UdLTsu+bU4FNDaUipLMnjZW22FmzrK8ceJDJ5X05/PvX/cvRn9dl
uGo7DidTi5Pir6/LkbxQdFWZtGeF89oL5LdlNxfzASIy61ddVssDMc2sxXrcqty/f/U/6+t5caB4
nIp5wHkTfw47Q+NC90Q69QmmNweQ1WvNJ29bdTO3Y7XvY9BuOyRJHEu2ypvxLIv7+1v4T8fuHzt2
dEP/8G39hSByy2ab/Ff4mtf9L44NJvTbL/7s2vnOb3RSnO2724wXv5rgLILF+Grh1W2dLIN7+qdj
w3rPD6MRYvFMGbR/uC1/Ojgs+zfInkz7+TXvHTXyryb37q+3GHReF3EAmgKeXxsBwZ873LSdmo44
V/N6pZiO12PaxWgywxroc7l0N4Kz9r5h5AKJ37OJ1MWUsr4I4JoY6FJ56sZGXEe89/2CbPkQUz1g
B127G4jpJ+zdw8UDHh5ahe9c1UMlHnWFaxSVgLgCVyd3xMU4jyh3ZrYy2AgApDJxlI2ud4wONUs4
gab8fSjsMZ9WaLwihQfZx/vO7wBfjUHpJDcONTNBYfAbEh3hytB3M9QqojuNnQXL46Q7JtYgkXPU
zc5FWmQWDLCEKC6+DTYmwAE3VAB4LQtaVS03yBphiPRgN0fja8JgjWiVTuyjLIPWaqzr0a5R3lWx
eSQFvPrkL2O275irhitE/2Ju79ocdSqref8KLEgdCrf0ggY0wkmVVE+yZJ7FlbLCvvL809IN6YNL
pQksSK6nJjf9AJ4t23bTjCQQZ3ft4uOq6PKVjSyVO0zp8MeMBuGtYaswTjclVTkwX8aDdiHA6yaR
nLk4ZDwQ7kH+IDQWvyRR1sIrERUm9AW/JuuYPSs0I+Mo0kwGdrI82/24BGO/fYgmB0FLtg3ktSHG
AykcdvnhrUQ/q8iCuDSVTK8aKrYANei+Xt2DSIvmYMM6CaG9CJIMXHenbefkRz52H8SiXm42JExE
4nlRyC04atuw0sm0UcM8H2Dt+zuBfeBskhDAIL9Zz50k4ofJNF79WdrgR8QSdrNhwdSHbWh7FD4D
hheNgXHvE3nfzI11pYV3RnBWBqatSHqAYrBTRXxkiXZ3UPB0WBRin2f6iXCIZ29erzPMG7t4dKyD
qFJjT1swObpN+bra2ZdM99Yxq6OWMzp6VsPPxEWb/ndsd6Tvjr4dck88FSRIORO3hNfGH6B7EO8e
Y1U2Y8jNedwHI/owZqSFgVXCPtMEk18Wa5UEo3dXs8jf0DLPEGi9Zp+l2XKyK9hfK4NXDlXcC2mF
TpL0FOtEVBopN8kyE/TN/8tl+1l0fRnm7hxBdujGoKsXfZQe32ANm/vgZGV7iFT2EWJdfEOvrDwo
721L477MsasJenPEU2FJ8AeDk1ihW6TpQ8n4G1GzY+wyeLxHADntk1GRJID6KH9YmU+EXbfe4C8p
Dh7cCE7WiXNY86EMbexpe9yobE2mMECytDgI17zcA/RIoNrkZpj0Cg2DmzlnaYKwSGNvPJlmfO7t
0bzqhAFbzUyaj4OtuIpepELTylzCdQgBR8isd4Zd40WwM+MjIB8DSwHjQFBz66FPGhck1yqBLuTV
Yy7Ucg+czbjIvkNy7bNLM0oWebJ3Gm/aTCp4dosq3yvO9wfeKiJmAfPUdwScsLQ41rlzC6H6LR2d
JMgqrziPmjjFgVZM6K5cz2bt7JOLgRTtu/FjxpYS4v6wL+gk6UM6/aPhpeehGp2Lh3d0hw3+waG1
uZ8MEu4SYEC7dSqc0KLFtTO1j0CseEgX+oByAHleQWjMUnlcUvG9tNblULTQYXsXJQQ/37nVkbIe
lTwkDFKZydbi7NGEeOU6IvgUo3orfdUkxZNWtz52tTmf3K05UkD45Dw14AYxPPSnKbL4ttLcUrHT
3uBRPgyl+err7aSRZgqCQWc/RmYSY2b198MikFBKgtks/X3sCg4UK4ZUu80QzhdSXgjbyQ/krI2o
MRqq1h5Z/uSX3olT/F1dmF8cp7vOYis7d/b87E2du3NT4lshxTkwndLqyffHT0XUTiGt9u8QTaZg
jPAETHHxZMrhyrX69rbxzEtak75h13Vxs6VA0Z+7LxB8hZEihiLS+kfbDgaeLhwu9jrUR8sa0jCy
l2yvp764XoqpPVpzizJAkahVIC7pVPLFX2imLNZyqsm3ucJUMxxGc9EHnOOb2phXrNb1SVPH33dE
82WSTYh2wbzLJ5/nWcbFoYUHjbTEfkQdQ4AH+SBXi+7OcasRk44KNHU/gElJ2F6SUjsvRT5/nqKB
EfPifqsHciYgxZKtZfZA+hj5H+IqskFijWRcF3SpN247GKztjU83jeas1dPlDUroWBm5gUygMIek
tMMdizyzRHwafEJdtJi/qRRdviqG4eyNa8taQ5rkEkXOifU3vSSjNR1jYrL2oI3sYACdxBnYVEfA
pfYhdid1MCFdBXB35DF2s0/TiDx4Fd7T0ndXHR32XSPiH0o07qWoiugg3GLdWQ1mFbvG7Smt0rh4
DceD2mInX1lVD3BpwDF6y6qqN7oyVf/RSnt0b9yzgljB0zxxDEQV02uvnp45BwFEDzI6s8i9NXdf
6d3RwvGnBmOZmW8PGQ0eu1MnDbZjlIHbOGb0UQ1TpbBFL0sLGnVvdygOQJ7BGZ/SLYktsh+UVbpO
+1KPc7Xi/FMElvkB6lwOP7sKHqNIil3VtGvb/s72/E95/Q/lNXNMzMd/I4s9V9/A5P9SWf/8nZ+V
tWf9BjmW1u2WyUwNy0D6v63Q3m8o3hnrKZpklNUmf/TfhTVCWnsjfruuLVFYbIDen4W1cuH6Gcb2
a0hjkdR6/6qwtv5yYpVK8i6QCCkaqEj+fj05Mi9L0jWZxTlS6xwqXRSvNsMHNhC0ORSqHJ3H3dIt
KwR5MU4UCgjfnKQtb1YnsmY4/OxNkZGO31zSae9WrH9ffOj9RFaRdI3iexBlONdRj5lhrb6UdqTO
BkyPO8wxzsZjAMmF0dVbkT2V6PE7HyB+6niPbpsXD+08jHfG+FrWbYvfJ8mfe7xVL3WeMmhYx6Ja
j7nRzK9E4pbzLqXygu6vYjzGM2Dwead6N873jaPzt0TkZE2ptmQKtLCn72tzSXGi6RkrWOEPN5tn
Wh0GPFdErrVMYvdFjQCGWtvPJBZi9g7tJwS00XZPrhW+XY9N2U1pKleFo4Jc5PXXpmual7o31lvw
gQa0jaK7opCZvhLzV71YfQpDffQIrEinXH9Ymix+NRPT3AGL4yyBlWkc0Nc5g2kgqvem29We63tb
LTVeaG/emBDl5B6LOc1vPVXOH6ACoTIFlLXAg6cGHWgR54xTKjBKjrUcJzN173FQ+mz1qvw6o9Xa
qRmyOnN1Isn6rH9UIExDxLhEYEyLOkVrI1lFBHF9dg9VLkN9eeXNE/SttZP6sjVBMSjEth9TPWv3
2gP7UAWtWIpnVTbD40BUOPNNOQEEzEdJ7kIefe4F2XjNRJOrqnxxPa0YYvoKy0hNVRlM6AOu11gO
nwr2Ywo+v2zBWbT6KvG88YdPsm3GUaQXedgVxAuOVlXsEThWWVhNPjl5UrpbTMvcSgqjIX/V744R
Gl32EWEbHVozm7ovWVYURTCx7ULQ0yq+51xTSTbRJX1Imlx9MuMy/eCvNq/GrK19lPh2mM4l1pU0
s9HAdV0zvFM9No8FK5XZj/o0wQF8iJOyCJwym19EFbcXxJ7+96md3PbgGGRwcsiZvBQJq/YfIIet
U4AbvxZQ55Rzn7DPEIjrgQTY+d2af7UaquJNBp3vYwPFno+umU6lrGgl+fnHSXbJvTtn3U0nl+Ti
YtCkl11PxBNHlUUU7BKXIbdr/eQpmo0AHlGjCs2fyzq2bqgKBuq6umxuM7KS0o5DGU/557mSmZUh
mCZLg8szkxL2f9g7r+W4kTXrPhE6YBIuYmIuylfRVlGiSN4gKFGCBxI+gaf/V5a6/1F3zxxzf276
REcfkmWAxGf2XhtL55ia/E9dWXHfr1Q4zplHHmqozIKdtqmo/mh3egSiEzyaaFzM6DJPozOfwG9m
LL28R4vieyOFv2CuZzXOqjZ8UgV3z7ZDQv9KLv28sooIbJ8PXbFb59IG8aXLuWFwsebMqdWvezHD
u6TvuReyVLe9izVWwCUmBaGjeUFSuw2jMd8GDmG2LffLJaID81cpXtnPKpqc8tYbejN79FNcreFG
yGUwn8TSYVQvVr5Xufe21RiHaWifBSuns8EwOydFzZmOTjuexrjy7qCetfsSWgkZIQUYrKGcz00d
2MchKxq07m5M+m5XnCeQh5diytRa5BmoBycstiiny43jhStIJsyPm+Qe8fhqQLO5Mvv0Fk4yT3l+
k2M0+8GPYFKn9qtHXtvKpZfLMns1NGgrLVSU/BpjWitc0c8JcfBHWOM1a7hS7XBXdA9M1V/DQcYb
qA/E70yjcZctVkRQJaf1PJhfKquXCCtZYeXzR9uNN/3CZxj1hCykdj+vrTA3d2aXfFYOFl829M8B
Nd+xDOQ3jJJkkKT2xWSvjkWreI6d9sGbsuyxb6oXXHYkB843qBDNXWnWT2PqlKtS+dTF5kzq7JSP
G7vS0Ueg3QOaEhxfRMkWhOV1LOeWxLtjctBR2XQ3fRbFuzkMxr3NQHpjdYgpVwLxEwYgxAFt7INQ
rie5vJKv190h5aSRxL1mcxndeHzbgF9bkHvGUF0g0NZ7w62MvUCvuabPX+4hE2YQqGsLIQ17pXMz
z+GFFDqy8EipLc6YGKYHL2w//FrvItKYQrsMm63RoT9nTKIsfcwyTVoFXH6ffDbvG9dy601DIBNb
1I4xuBfP94XC9DiPVvuZ/d2wNlyCZO0wPbuITbklcnhH49jdl21erkkbLp/GIorOrh2JlRjQOLu1
OeOsGm/CyAT2ZjvJe6Gi96Qzm7PNLubRRspzk7adc/HSsHoaJuQhveOdOtLRsZ9x6bAA/uJ28Mhc
g38kmWIu5fFK7dz/NiE/uQRGCJByUJDb5gU9AqDOHx4pIFB5t92wDLdTLxy9bOzEPWeMcZv1qU+s
I53BBWpFsWn8Kr8hEcbBO2HLfai65JsoCu6tsO7wEeTDhYuwgBxoFo8ZC82VV3n+NvWWbgOP+NHH
W7zp7aw9lovjPBYAijcGq6YHd7LeXMJ0iGg28qcyxDQJ0cn+0pNSuWOtmVtcGQm7N+oCb20Jv9pB
TQIw5ToeA7qWFO/RC09uN82Y4FN19HoekSpfvKOBRNfa/GcM/a+4x6h5NeH5/7aPHYneYhzxZw7b
zx/6o1D2f4NAYJM7g9QTg5iWS/5eKYfWb8g1vQA15c+SF43qH5WyzX9iAs1M2CMxxtT17R+Vsvcb
hEEfPWL4M3bu36IIIaWkEv7TDsmyfQeIEPgiBKR+qCvpX6R/qZeKDIJ7clINIBTGnrU+nGfvRja+
QUGgLLERAz5UmTcNF2TkkmVqMo7G/t5hmDy0VhlF6wAE+wnSl4i2xVjrPAieo2fgCqXYW5k/G+c8
zNovTSU8F1eUE2cAt1izrka7GwlVLgNo2pFLcz6U5gJHpx48yJeeTw7q1KLOsJZe0A3qoKzCd1q8
IplKsILUEaqfSGK2pWv9Gmaz/+3K1OiDMN7Gi4mWLZFF34HWdG13Y8WTsG9Du082XVh6dxO5TmjL
hktX2MbO7yyqaWxWmClcz0qfZJbNZ5WY/X0b2+VFA2Kqra9qorqyQMX0p64ZEwyeyUvhynHPr2/Y
wNfzIZ64QW19q+JB2/N04e5F7F/v3AqMCv2Jvruvd7pyowbDFbd/oQ+C1GmLJ8tWmAsS8RaP+riA
FLfBmeo8DvowGetZbBLLfkz0QePqI8eYKToV5qxHxzeKewT9F9ck/ti9nlZS+ck3Tx9hQh9meN/y
G6ssCViDSXnRTH8+9iSN7zp9FE5JxalIXO1wa05bmvn6PpJt+SPjyNlhWZt3nZsG67j1u4vthd/c
CIOxFVnRmgSzZuXpIzlxly8hkKZVq49rWbinUR/gvj7KM32oO/p4hz06Pab6yJd58jXTDwG39oD5
wv9HXjRvXP2oYIogQChI4zzWqnwq9COFaB2eN/oxo49X/CL5uS2yHqUJbULKHfsZY24E28FW97N+
aEn9+LJcXikPwHhjjlH8aQl8nnPsz5EaZFUd8muzDMSFlNaNgzXlhJDsg/J7eogHUZyBdCKUoJ0K
L75+tAa2GBFa6uctcI/lniidnuwLwkdzU9WgsfQj2uaK9vVj286F0Jh16JmO2JHyzJZGsc0ZW1AV
W6Pvk5PIyD2ToNubld5Wb+BwkqGnCwajGW7onLsTUtI7nqu6qtAFBnVatg4yRUTvtf7ouAY3Shcl
QwT3yVv6Z4PwUJASl0BXLxGqIkDoK6gPgCuG7DGh0DEoeCxd+ZCmdLEINd5WFEWd9KmOKJPma71k
d2+lz8w5vxZTZWpjP5wIztLf1Pxh6Lqr1hUYBegXMYSwWyAjHwgCMe4mGvVtpGu3jCKOw7B7sHVd
Z+gKr8hj98iITjyLa/3HbpU4F2JmkH1zWxknX1eLEWXjqOvHAXTzvoAbRUbyaaHE7HWtiVltNYM1
qnQVisQZpawoNyVyx+0E/XjH/v1atVISRE5xRiwSH0dd3RJf6BwZI6hzqWvfSlfBUtfDS668O0GJ
POtauZ2RdGzoUKbzJPrnwZqNg9HMWNyElVSUAzWQehNcjMGqbdNYrZ09ztfynIk0NVDwtW5Qhnje
En7KoLoQRElvlARp9DiDWX0ATfBeCSmObsOQfUmtd0+OBNUlrdm/dS1v2SwTuWllYd/AcSat3Xa5
pM2YrrsUBZ6ppHicOXaJBeS8K+q2ZhFYzW/LQOTeGHE+g2fob5lvz0xZtZa3TM3mqWlh3JhE5WF3
LB9qWE7hagyJMH6MWXkfHUl89l7aglzgwqVR7JgbHmU+ohpJq77Y1LIKL33m/5C1Oa1jW1m7KQkK
8ucDC2IGrE0MLV5V1hE2nXJQ+K4GF6y+TD0Yzkuy7AK7Lwk1aBS3eCWnQg3PSYE6XBzmsepP2HIT
hFa10XzLjayeV4nIBnxRCeqmh7xFYrlCHxAc8iHIlluFXvaseGA/OW3ELZJPXHrHFobaS2el7SlZ
WKqueiaqX3uu/nRt6SiHtWVEvkCmI/1LUxgBedLgEE7sYINTM0fGrg+zKj5ETU+OgBM/JMVQPAVG
5vgoz4EyJ7h1pnW4TMmrxDi9HW1RHqw0Tt7RF5i0RgHgAdB1vbilrbDSlS8kM/NlGqLjKAlFn5xx
HBlfLKAcONp/VLkwWZsJe7rrxw75iLJxS/veTM46Nj0JsMMFX4f2Yhm+mFDI35vWTF95JkMrYxV5
B2WkfEA4Gv4wVTIsm6SInIsx5uMXIy+W+9LEf0qW9feydLwPl3UeoN/EaYbV4I4QKUIysd16PJac
tususOx5Mxd6IB1GfIqrLEuC52Gc3VuGxsWHkZkZnIzBxuPsyXQ6R43wnnmOsLlWS7wb5pm4ayA8
EsRqbiXxsU2V+pYTgC04jGJwNHk1PiqffGyW3onxmOJPlyubrfJrNkf5vVPIOOYq7gF/2mG5gCls
8g/RN/kF4sMTRj2MhTioomOOggk6UsLNKuu+eVgavKzr7gptt68A99kO0V3SCr+6mu8eadJ7oJnv
5MKELQ71kEWo0lT4VvPhCWgAFY9e3/gmND9+biFNI0SCKg9MkZWyr1nz4RU7P2sCvbR6YPQsEgHT
h5pR31xx9YEm12PwhoBoKHj2nibbc88BuWcmBvCeHSQhR5qC7/it+RqFGo3PYABMvqWJ+UMBOz/S
FP1G8/SrK1of/Bz8mCtw37UgQTu57d/OmsdvJb1HLoAwN/OIzbawueB8TfBniyK2jab6Ax7HWp7g
91tZnTyDbO03nc4BKAyGdStfpwMonRPQ+ToyoNTpAfk1SAC4BqECA0v+F8zkskK+Tkj5SmbN8t2j
gLqjo5Mb5rJfRUxOga8TC2qdXYAxl3mIukYazNd4g0knHWSuDj1I8f/chcBd30akjgCGJDg0O3bx
esxkYn31pza56XWSQngNVcA1QMBC07Jxq2qMqXFAy7fKlyEPDplDLm6QR6i7lZ1Y72OIkR0huHyL
0Tef3RDg0TpTtvk6XMMeYp37ICcdAQFl0PogpY1giOgaEgEuJHqBEVJ9pscmRMLReRJDR7LEeA2Z
WHTeRKmTJ7I4fzSXIX2B0n0fI4OrdUIFXgt2OkOyruY+PIse7fygEy3iECDsxoXy+ODpxIvAiv09
UADklG47iq+hv9gIDXRORnWNzMiu8RmW4RClYXWpucfEH993aBpBcYGSt7Ni3C/C7TeLdAomvibJ
IAYLV8KgvyeZTu1IB4+tXgYzGDkhAtvcQx8cu370FQhxtBtrHQDCt4mJVOpcECIh8mN8DQuJrsEh
aRtnYhWDwf+QkHyqFTnlcFdY0HC0sBGroyZhf6iKT6mOIzG1jbrVESWt1GklVu4FN3lbhusY0npS
TmS7XrNNUBQOh+CaeEIQcf7SoRRlMh5NI+C/1AVTJqVNt6yTU3LDkqcJk8ct77C4tXXKSrSQt1Km
JK8QDTbu4tCpjk0Rs7/Oly9y1ikt8LZbrDeN/+jgpP1u6SiX/3TJ/0qXHMDY/EdN8uZ78T69t99/
dVf+/Jk/zJXYJEUoHNpdnjs/KSp/mCvJewp8UCleaP0emP57i+yEv+EMZlMUOgICi/Nr6FPwmxAW
jjbPc3/KtP6dZZIVwkP/U4us89MwOsL+1Z26+VeZZZ6BnLCWsDnM3py8sFyodOiKMw0rtZQ1WUlt
2e8kZEYodwzBITqu2YFBW4xMCdMKCclqcRbrJUqHMllVFbaPNDSn76r3DA1PoISPuPGKuGd0bxDj
MBRvgiSNjTOkclexaOGUN+Ntq0I423yI6SECeUGOFDwBpfrlvsjcngT2ASyHz1JarCO0JyfPQm5L
KCAkBb9IVn0CyhIrV3vDxoW2qqTLM5Sb7WFgo290aLGO/sJCpDba/gICV5zAmRNM0xgvaVFi74dE
vhKNqvZDaMdbGaPrkkEnydzAg12q7kwJ8uGi8oCdxTu1EvuMlTrfhYw2N3g0jFUGXGVvxvkPuiDW
5GZI7nplQqYhb3VBZkYYdoPV8gKg++w5SmdD9ndMGRx0VzAcrOBTNA53VhTS1avqCZeWdavw2KOs
qMYVmbj6H+UtoZa3IpAvUQkLdAGRemKY+Qa/5Og19bgqHOecz/lbA1kXgVv9pDJjec0L6BPSSTgX
AzlwgMLMSNNqzSX4STkA9NDNrPLI0y+BNtflV4eNcvb+4psPTm5QKfJQe4rZ9T3XsHKeLYrx/RWs
ggLa2XnE1q5gy3DymeWPbpGPpieWQySMk14EvNfCaj/JsEeDkEbo9R1JTAOUjUcofIcoWIJV4FLU
zGPSvog8+OR1ab2vFW4apsjxrRfl/pZIDusQNh6IqSL4DA3fYLrsTJ957sUnUdYk9PhxV55BQA7f
DLNpqzWFl3PuwXvdQyqmAZ3sRMF+SZplWyTVk0Os+NZpAdYjAHcYk/ThriNbaOMQh7FGbM8SMR1T
ikyDh12p0PS3jUOkRCwtC/4CK9MM8SP2rtGrWUeo4SaOoUbvJkIYP/tiSm9QIZpvgje+6eYejgZb
Q56MfJb1zgraiAKMAuFmAubYH+vMZD7lZv38A/nfYuwDep3oxxz6011ht0RWxxUkkMJnjMICJl5L
Mj6e/nPQ/ysHPVrogPHg/z0OvXtv5+K9+vj1pP/9h3496tn0ex5ET5NAVWS3fxz1IZNSJJPQ0U2f
ruJ/dAMc9b4NtScIGQ7CUTQ5oP+Yhvq/IQMBoOOh76VC5D/993/9KRa8+8u//xoTrnXsv85CIR1B
fDDpylAi2N7fXL74BtsyyTlEY8tdWPyJClJ0PH/Ghj2SBu26618+nsefv/rXP4jg4a9/0EcmYbos
eBx4IX+RKfRFmPSAO+YD1sz2bBqQVzxgkPt//Ff+rDJ2+VRRZDCDFgIrvWXbf7EJ9G5njo2bKNLP
G4KFAIie85r4spROFHTNVNABIPli82hcuslXn//xn2fQ/be3qe0JIYZ2ZmJ8tn/xs2NEDdJx9nt2
0h7qfTXR+Rd+Yh5GgYeMEr09qUy1POYiTP6wFZ2ILDWZQlLqsKs/sYRE1VhHwXzXTaCAYQEJbKrL
lO+I2OH/W3Dg0/+Q5IflS2bgs9yoIx2jD+b5ByymHApfkG8WFSyHRLjjOoIBeSISr+Gh3Mx7tE34
GmRsMTnjYdNwvNs+3KJGWZ+Qb8v7dsqtT7bCJ9w7A6wmOtT3oGSIsu7qcQYMyDtiPDg+Ix2c912m
NJuHMO82QmeNoBiObhKZ9VuSzvLVik1+cFIpFrZGQ3Q8L7qEo18SDNZJsz7yUWHMitEIWuuI9tTZ
2+TKwvzxNQBrwek114BQmEMnD26zwOgVIVOoIraLlfTT9lwXI3Ps0Z8YSPY+WFUvWe5gU1I4oEne
OBHTkHywm3NX9tFpwW2890gFOl6pT5bTj8+ZWY7PTbZ4T3w7LP6wqMJeRuYxMDL+NrOAXcc+PKp0
qubPSR/VrxQffDONrMyDNwFXomGLTk5f4b+ziPoAnDX/mAY5fzZbfmQ22+6Lh8brNlLgu5sYp9dQ
LN2Xn0UNYfW3ZRnwiYRZw/5elDCvVh7IJBxmhUTwjbp3qkZ7Wzc2cwCPBDc8Z3Dn7br9JsDV0KVg
aYEvZi/xwVAwXCoxNEhFuJ0Do4dMRDbVkT23vJ99/HesFJnudk7VojRmsHGUHeQwAJr5xhegsQyQ
4JcY7NPOY2hwz9rAXRdhPH7PzRk6UN/nO1LDTA4Nq35LVTM+k2W13IXNyK+iH92DrUAXqnjHIfbR
+4jAEwbmjftwxeJhqre3ntBoujDBnMjyvySRuxq/W3k6o0O1xUMs+CaAMgW4vvH1lwbblU0hBz7X
PJaYCUEPqQmh/KZXRlrRf0bRxTOj5psbmstdNSXzZ3sqsf7W3AxF2+Q79DD9h5l51qdUpBOafGhn
zMOKdRfzPRIgw0etL9GiUuP3ueXdL1eAXLPwTQivJl/R4vpvc3z8wIuiU9Hlr5MB7yhJ2/IhDn6Y
0EvHVUriYoInHyh00rlvJrLOFzuKhufY5tpcETie7m2zDtDjUvtG/vidaY+8l5nLRalgdauEL8rz
jX7HfEk+yNIRGM4m92GY8RRXKfb2AWvwG5YJrlaNBWvtqH5zSncmC8Jwn1QwB1B7MTqsg2qq3+PA
B+iaOmhqEeLkm+ubCxJuAsQXxkXNsmIAkmYL8+u5+yI7I7/MdW8BcdPKcquH84XgA6PbZKaHvrZ9
C8aBSveuSttvsvBMvqYyB/Y8J0HzYqV5eIt33Xe2GIqb+96z48D+EuQhTfHrWFdT/y1tB/GaWhX4
hMPoLJU4gCE1qq1jMp+4m5sJG9sUO4O4ODni40ao+bMVzDCOvQFNgwXGfwOAxdtxHbqos22bMrmm
P0B+Vd0PNWqpnivsJIz8sTc748za+mK4wz02jZJkSd89L63L2ekr5x6qPlbK6L4EHrUB6BzjO1yS
Y2nnnztXWFsgyMN2EPPXNCjRxY/DR57Y5RGhEOx1kRwTRNqkigzyti7Hacv8WK27KO4/rLRrtnGK
+L5vImj8rXVSC34QVhD+uvBdRiMyTu8FpvU7ciMxRcBXPnlZcDJyDARpAaN1JcOoOcLqKDa2ocSa
2aHLSBuSM4Oq4kcsFybPjlv5ewaRsPFFdZkrP93a+DBvMkAKd52XTTsv4YZtMhDJ8GMJLgHycVxm
vkjbGs2jWeGyL308rJJgC0QZBkMkhznoiKZon5g+cD2jpDB10/AwxNaTU0bg56AOYraHCLC1+ezZ
o0yTB08tJIq6XPgOV3HRo7qXqU9HAC8cf8Pt0NnsUmxzOMZImTfUBShm3Yhwxznqvjn1NOxjUg7Y
yhHLuRsRNq10XOc2q7zmgj/QWll93u3icSAFJmFUvgoD9Rbo9mZycnVTqRg9SJHnryGWVRT9ypv3
IWX7tPYR5KPFwiHgj8JBWOo0Z6qzYCdwAfhHyfnKFJFDhDULIiaYlNxXdwIM5Q0Bhgt6Q9M+2koi
4EkS7qpuG8PFYybHFTj3FoJ8r1Wfl8nB3pMxDwu66jAVG2c06pPVesu7ZNN3tOdy+SQzWcfMtsKD
WtzwWJKF8ZjmzrIZo4GM0VKKtQcehcs9p4ebkEB2KIXOfidyioPZAobWTuhxCK9oMLNsoa8sZDcA
/Rehk734HsLNwJynnYjmcTWEo7FrEpyeQ1yeC8vgWZ6a0zFNHQXUcxw3MePg5yKIrX2RcsV7Tp0g
3lbRNpwicVeHSKnZMRiXslfBvdUspC4G7Ygp0mVzu8VWWn4XcXOfRIt/G6re9tZimiBZFHoRXYok
v5PdYh0JssUNAq6hvSmWyAGS4s9i5bukmqxsgqBudJRmADg1M7/LUq9t0YN4amNm5nhcEN/R4xjt
Hkie+zoVA0RyICrZrUDP9610Ms+8szoxLvBb0Lu5r+FomocpyVmVmXXVgZXRzmo/ccevdWbV676Y
dF0gmzOjBQ0qJfx5G4wlmhNVEJ0QkR7rc/mVyRGpdnsbNl0t1i1qJazitZseFLFE3TpLa/cBXEB6
IFJBfrXZdHTrVjIN4LthlaRLJFzaPIcKfFeZ21Vs5dHaB5XsP9iMTXIdTzZJMWbeQSyVnMI/qgKE
pJyN6CJzX98DOWWCz5Ql2lw5in6SQsxJpPuwpKlxMZC28XZTB0F/nubABUBxrUuKvGQjPCW/Kjks
klRLviQLqDY2X6rCn8VXk9rWJxDd3YfM/AxIKDs66uRSu3oVK40tZaj3pPKGskwXjFiNR3iaWWIX
Rwfl3S2GkeUgzA5nfz1xGLcZCt1S2qCeExdvNAnBNeS8OByeU5u1Enmo4C1dT97Hy/VVhA1xqtpu
i7BTH8osr370xIfAiAWVfwybxnrkGKw+HOnV48aIgTBCXueojDmIVle859zJeZ9YBlu11OS7s/Bn
VWuzbOe9Dg25AQzM+x/IPYpjnuU1xdYr0WSsfWZd/kIVfvV7VRztjrcA+Mj6FJRq/hHMMt2zX6+3
VZbCCUknjIIzdnrsBcyejznxBed/3ERY/1sPoRHM9Es+khk97vtVp9LaYV7rwcEhNuzmRCI61BMf
I866yZr2jKaZ8t4BNTPyxbx1M9OzihSOaDP07j9raCzdlv25T/z5StC9W7yc8C9+6KF20JniTjuQ
t9klrNkH98H3gNbGhAOdcLCgqQ35ZPvYVI9+XJfbrHOdw9LXb3FUcWFWTnPqnHEmGUs2L8OAGx5+
g/o8UXHv/skH9/fppUV+o4MzFs6cxzL7zx8c5tfcHw2nOxgYpfTc33uaCXpZm1aWPBjYwkhg8rnA
kCRAreqZ5Jk8p055pep3coDgjwqKoH/8oq4t558/QQy5OKL1i/LF3xrfmA0easG4O7CDBE4JKY+g
elITb5fJGPdtOyQbjuZlOzsOD55ooILKJM0rvm9uUzHmRLmL5uQU3nIYIrf+kGnhnwMvltuwbxiq
GW1NZEPvGj+lcH8aGfzasbv/y4XoAwFneEFT7UCm/EvP7g4Gg7l5ag+q4ZmGUl7iaiqBANUzNj2Z
VtMmTBz/B9al8ZAGDuoNy34PMklmUexsU5dyyXDRoAyyrO/G1havI5SiO5w++Y1pls6bLQhzu2O8
Wo03bZIEx4gMgY0JJXKXKm5ouE/ZARCQ+2BaiWQsXFKvFnChKCCXXaWc+UYkVPMsVSaIypwwNniD
yxi33pPh+vOPEu6+q7HY8OidjjPWEx5171QXx2HgAEsi0M8rmmXgsix7AJyiHWPZE5ecxNdaHadO
c66KRp8poS7biVp5CXH/rISZek+kocutrSLCOPFp3GYDFkG0ovSMYzI+x6RRw+dx7eINj3Lunfpi
8cfbJppiPqQUdYKhul5tQagmmA1gLRUIXBzgYu3atQFOCHyJQ2U/15GwVt112uh7SxEfMVDgM1v0
+DGioI82JvtrppQps1fSZKi4b0KT6Cu4AkryNKamb80EMlAUJbzjuAprEnuQYa8KXFl7X+FhNmaK
fNpp80D3zRHLjv+LmdFqgvp1MUMauHnLEIS0amncgkTIr3M2wCpJwcUMbPg3Zj5xRZL+1m+Syhue
+7R485H9rBdlgT+bCsIA2jkdaSr57MIcUT1SOj58HjrGpUUXdUSyz9DGIdUrymFEr5kEF7g2g/pd
zUb9LmbMDcxwsVxw2+Y7pw/aRzpROIXoeVbDRNPvFVX3pUIB8UUpqF+m4jTqdW9XJWEB9bvHBiOW
QuGLKSaoIUsMDK4D1IOeHo51nPrn0mmHZ9MC5mxXdv3ukky+NwUdlrTonnEyLjwB+trqviDKgsDV
FPK+x0rCHSw4TfqoYqcR9HRGkUDwtq7dhXukI7fIWimL/4jDpPlWV0pD4ZaCIBHqTRdy86FKeCbi
H2YqZ088clSoH6GJRpW7M3TtorSblwlu0a01MWbpJHigGKEsEB0ffjTBRvBjy3lfoZxZ10E1PhMt
Rns/zek+0BOgMKDdLHPmQz45MZ+DqVp+BNylyzYNFvmaeyRnK19+7Qcmz5Ppxg+WpsqXE0Nwi3TG
dUUgzPn6qpUIGWIFac2FURf6O3AmzID6VlX6fDeRdW0kw5I3t4HSpNqSvUJmQvKGMsJkRDevqcKN
uUkwep5NaIAkqxF29HF9FssKT6Ke9cw3OcxRBt7txFzH8fio9FCiJpHnZom9+U6NTNeulyHKHAqJ
uGrMgxqM+U7ETDycbm7O14lP5XD54MDB7GExOcGUURyxYKYHVAclITsAdYYI3eZ1PADomY9BNHS2
DBz56PUgb0nJx84lA6EpSX60wTLfLdxuKLWxbWCmV8zCgpjplSlVfmmkUOWKAjikT6EkG2pfPTbD
yHCuIv5lFQNSOqqFd2QCamOIs3AL1uHECC7ygGzEuemu5WDUWzSlmmQGfHFbldwxsSrdBzv33CcK
HrNl8DV2X6BpMhFcRN68LI5gUMayrPkWZ0xcOrLSP0OEZm5jt8XR0MMVxxUca3T00ek6qSGc11wF
lBotGe0pv6m0GfZAKiQxy+LPX+c314ekypndVjWxi4ZpfDdNnTQWwWpjJ1hSLDWdme9+Xpr4pHZS
MBqqaiu6mFZR3UqgZpuGSInboO+al9pihmZ1MTO1QdfKU+lohxCdFsvznsPdIKSxLsL6TZE3smnN
JiTZhnO2nhBfIsBs2m9m5fCF5PlgbTvap23nUZ73Gfe0vp6bVh/DBLV1N2homEjCkqHmzVt+nIco
Zi5Clz8leupNXaKfAjRob1bAJSGWofsYmqh+T6wofvAHydio1ddPThg9rQ7DSLiDGxQYxfFa3gZ4
zHYxQWGXchqZIgkek55v2Z+uzwa44e1pCOLkAe69njsxREX2Ih7wVrs8KqYQtGxIGQJ72v50pdmH
JXBqD58MIb188YkHCkB6DlFoA18k2+TiOBcm0TR4Z8guoogt9XeQUB6+dkiK5a5daorzyeI0E/H4
PE+UyTJnPmdilQbxSZhMxDn28hO+6BUIjSOO/etIEIaSOAa2jE6AyhD8KMrPjtOEEAADQztiFK6Q
WlGcoOAHTsb502MUOoD34qaYzbF+Q2/MgHpiZuykEa1CT+HseND4bIbL5JReY+r0MatQ8u2ZHM03
LeHGX+jqZ/xDtnb8QcNhCtU66rFlaPMZyeZyMJC0AJLoRj5Mk+MtGbmP8tDhqeWNkh4PuLw0cDSp
iXmZXRCPeayE25wmWTBE1EclJCAdEuDkD0tgs5hGlcLUy+i2ThPyfEgYmXBPtkynq96f79g5Wp9Q
VgzffcLZ9j0vfUUAHjcuGi/Ky6KWX7uypeRosCkds4qbLJUpGDK/ehtHl09tAfd0tAMYmIw++Qz6
gtV1NU7NC1UJkhNMHACu4GuF1C0EhhAuYHLITg3lBPs/KsiZQM5x4Aufg3y5y21G6td/vd6Yc5nx
iDGsof3mTjxTJQ+VY7UAX1OQGHclBMx9PdXc0ClVZey7HDKjy5WNVG9xV4ubkrfgLXRkExm6qst/
DGKpvW3S0cBeB8V+J9+ETWeKTAl6Lc6ccUN6+LBnkMA7no5+kU0HSJrgT+Nks+hNDAo2uSUNgj+W
10Nw6iPy1K6F9n8czv/E4Ww77IV+6Un+DhD6Pr5/vP9pUfnzR35fVFoWfCA2Zqwof9ee/P9FpaW7
mf8xaiDloAf0bEGr4Fvs3v5YTaJq0fYOlm+C7SUMon9nNWnZf+njcA/7+s+AwEajYft/ZTQnvVBj
1Urnzo86n9NKoJt2LKNlMkCSwoxpCY6crFF9hI2FGLsZtzCWO5gEQYHKsGsgLpqD/eImBGTVfoGc
rlGjI9a2xNu1GcgafUZ1Pr70edluiEHjISJnW5GXEZAOJ9G9bJTHRmI/YA69DDQOr9UYjQ9LG0aK
c69CEJMvrb+sGggSu7QU+cFn5gfNICfV1cfPu/dCXuJKYtYizTmuRbYxZk4vMc++t0N3MMUHoOPL
sFF5Zn5l/8BgoZjz/AMzSvOQxu5YrqapVA94DsCjoqvgvTO9nnOQ4GnuH+u5FctusXDi7bvZ5r86
iOJt/XCZHxueivMxRjiQbcpyVsYp4AUSCRwtbJdqAtKcsx3I+hxCkLwQ+jM+NFA2mAAV/WZKaJvW
0JZ0bG3rH0pYc806EzWj8VRxlLTBkFcEILaql3doMT/3Uvb+AoKDzV/fHCLLBbNZRnbs+PvArfJ4
57epuUA6Qq1DtGVeBere8ZeysjDzjcZRdFZNQqWMG6rMDEM92iHq0cIo1JdOFgIfxcgjddU6ngUx
BGfOqO5zrLDkFsH0bENSn+K23EmA3ljfHeF48Rq3XBY9RGjYdwi50bSv3Y7cDw3hHP3+Frz7iFew
MbHeHBhfWdGN3aIg3pB3NOoLh0fMojJ32RkqA2mUlx7PsFPfD4M075mt/T/2zmtJbiRtsq+yL4A2
IKBvU1dmiSxN8gZWTQGtIiACePo9SM7skMVZ0vq//m/GuqfJQiUSIsI/9+NZh/NCKjWMc4k8KkZl
fYgj0uDzR53S7iG/sPrqSvAh+TwX0Xed6H8feH964FnWouz8xpuRfibB81b99Mj7/pf+HVUTf+EO
oH8c70WIocJDYvt3VM38y2HYHOIlWHBqRCj+8wQM/sIWx3TfQw3hobtg8v71BHSsvwAw/L9utKU0
4Z0Z43fmjPfMeJx8ls0l6nOdm86vFMJWG0yMCmWdKlbOIBYHYu36IN1lU5yYlccdnNA4e53lljE+
pxp2PGpJ0rALCMGu++lQCYtRRmbDi3bJq0+SmXDhZKdYtLAM0VJB9IBIw4jww5k+/2rzWCS2H9Qu
oAr8wgGn1oR476LEvZPgVA8IFH7JCRVBPxAZMdbu0kI+Db7JSmYhdv/+gPaC83h3SOyK4OpdNgwe
3+biPPkh1gcPzG6Mvo5Pnhde151vZOtisBaerMNMgil6a7QHKM0I5GOLjW3dOwON2WAGhmjnxolV
X0U+BozVPPiclcqL+nkvOk+fgwrk5LamSo70EBuEQljdvHeiCjCissAyxmmFNm/lkfTwZ7flvCZg
zYghHivOteHBeC5okKCBBsQ6XsoasG8bcKgwiQZcjvTrlpvvzMXRM+jP9vhG8Fh3qu93ETCMm2kp
epD4FNr1aBfum7QZak+OAYB47hoL8jAoDYxuKQF61IIx3l7Q+CZcYiakSSyeLPbDM+bCBeSoJKo3
bFHg6h7Im5UWaYDlzV3o7QM1uewyRJvc6aS0xOqCmp5mK9HPEk8N5Y+tgW4qiG6pk6gdX9zO+Qib
1fMnr/kg2H0kx04qrr9YLQx43uzDwywrdhh2IfRrE1iajgXRLUBepfl9pq7W9ZVs8JesB3Ah8zry
kBBXRbMgpBoM7vC0Mwoh1vpSmAAHO0sWtQeqcC2rZbjB0C9dZ3nlvmUjCYt+8uAm8xoGAD5asty0
qXefePgt1qaiZn6bTg7fgud0nfqQYKtoDs5sluWW8whc001tTktqFCzMNRbE+XGCCjuvB+EK60T3
b5Ec5+Ur8Sc43LQLk8IYG7s+ha0BzT4tOoMc9jCMN0k8zvdGYDKl5HWtD8tIIUAnAoawVXLiJiyY
h9Or6/lwC+tBFHSa+fGmcFtrGYbp6QmZnZifG2p/XWYREszs9kzzs869mabYezEG37odh4YkpJ2D
IRnZkFL66wTrVFT+WxUTg2lsM9MoXFyycLj1eRgHuP5JNnLGyyLKwSdrD6Aw6KTwxfBa1d2LdKZJ
wB18Lhsie5zeMS09eWd2mmIA5bKoKCjDbm2LKBok0NkGMeIY4jOLFb671G6c8RuFWD20ULCL2beG
QuAHurnYcXukjNckJNw3ha5Gk0AdWk8Ym/h6itxoPTrQRr5bVES6IWa/BsUyCG4uP6u4KfOmHqMd
r+1GfbiUHuAF40YwADLpQyrwze9zNk4nl/E9hASt5IHua0TCLBKsvGy3PfTJPOlru+o59X7dcxSP
9de8srjbwi3eNM4LPmyEnN6V9alKciGfeHsbxovR+3N73ZFulQSVGIzugInx+J3LcQqfU8cs84do
yFDLmVHSeT3AZ58HhwfEPC2NJtSqcC61OaJzhGHMiWgYTx2iIsAoBp+Yu4cgMlvJy4Wca4Mvrl5q
NcD8LjdFJ9kpr/S4AOgrpxZPaW9g+wmoi/Q+aKiJ4i4jTdOiPlmAbPylsybxAgDhAYRmDCF5nAFn
i2KZfQL3jgK9cntcCnYUdPmr5AlhJfg6ZleSj6sqL1jp2IjCrV9AfaMazOInMSrIjqr1+c67QlKH
Q8RMvwZ91OZfXb8SAg/uxFJ1SyesEHfUXXDjso1FRL6KKvzKjM1qzzSvEgGpYeVa/pyvjDQ28RHN
CBpg+m4r2ww/uEMfreFxPvpDrIHUl3X/jBMMomKnkg0XxkLejpMruwgjTF4RgK0SsvzKIjPibhK/
dA9wHrwRv1jWGulrDPJe7ZzG9bCo181EFWHRkPCjbudlWTWv7dL8ZFQDAOgKKSufAKOkyUjgzspF
/HdBa/pXHdsRPg9Z3XWAvvtRttM2L6S+92o//uTaQ7XFq+5sGDXbDwFth58scME7UZlxtGatC66t
8+WZ4g34oGTMKXCc8+ImbeLiWWQQ6kJTdbvZoGDZGLReVxJNdijH5o5KjfLaxXmy7ZEu73msN5+y
sE8eB6c4j76pM5zIytm1U6uh+dXVfiAZjD/bK57H0lHxTnYVU2deYJsib+djYYT5DhMjkcl2BJ5e
+ATi08Gun3jpNB8qt2ySTTarahdQvfZKq8tyakvk6MBzIbR4fq9vqdGgIC8d4GREvvqWSl9uCgZ8
B0Hrwo7+aXELeN4nwG261cQsmeXARkG7ObWqrPdB0U7FOqP4/MpPtNjFrnWfRXWzX6J8G0LozQcU
umbkLTV4VxXmp2E7lX5/CyszegybxNsb0HZ2rhF6awNbe7CbJg+WYtK1Jx7Y08GsqulqNKzwaqaV
gypvKdcd85R1208UecCefBrSYf5igrk8kYeAe1jJsPjDHO3dCJUlUcAAzQwWW6pYhpM/r08m8EFd
KDsiBt7C6fcRTFMe/hHPuUoLnjSUFXHXG+XAP5tGxk36+yXSwjX4eU3ms2+32bH7TBeRmX/+Bdq6
tIOsQMBjtyYPeYWnyxxt3oKX5AXWivoU8Zj5w1HfGX752LDPXDfAXAx3geajn4/KRjPxkxHYe4so
9hHPHU+mphMscn7/6dA6fvl0DMs91uucXaqdfj7OkGAJU2EcHR0KHniom5KXxjJXcXXEE+ufHwx4
G6NwVuiYtN+dSroMlRGzCj0GBf0D9aJ/K+qN1kba/8OiquWyoSJvaYxCg2RD8e6yaePQbwxtekfb
o3esWnRVd2R8pYKuPimfSeTvP9qvK3fAHZSecpkQxnDfl49ZpP/qqijd46WV5Ps7sEqoglm7lWI5
pNKJ0/v7Y/56jVxax2gCpPlLuOY7u3ZdOa2pC8aifZ/KwziijGprrE//g6P4UEk8z3Kxn7/70opI
jFS5Ku8Yo70fphS121/aM/75UdhQ0ouH84Dr/t1RPISFlkCQd8QlRA1QyoiACcb/4Ftyl/yYHbDb
Wfz0P1/tOal59GTgryJiHkO8ke9kmHCyQ9js6Ilr9DD/YUv36+ODZzo3Mx8L1YTD/nzIKh2iCX6s
czTqyPtgIS8dZ3NgKdIXIEoqRkbgC9TMw+v3J/TXGxtWDAxyaPx0fv9yQVJbhGLUuAL7NjdXVPOY
6jyKBeaMId3vD/VfPiIXB3hy1uA+W37x80f0sWZyqFIwYFgk7RLS/6w6fL4OFwwdUku3LFfN7w/6
3z6fx11O2s8lvveeiD4w9rST0LOOhdfKQ1XS8FeYQbKnGe6PN9qF4P/zO4C2O991HMcP/eDXOy0J
ZGByOx8J8TKTyKzSHXG/msUDFGF5W+MIr/C7sUzWI+u6kbWWuh1aLIA7BxcCm4uaShmG1F8sJgGs
OmcIIecg95riD6fl1+cQvgQwLEw7BVHIhXH/43a+St0xxffGFV7aHCiNmGKB/eB1NWQgOmnGYVn/
+2/C+vU5FFK5yLrSDoluBP67Z21coJdEvGKOBqFEudWBzf6hwxT4JZAgpS9NVlzvYJJv275oPzLJ
ocTFTkP90CpBa04b9zSNsUpi1IFBIfnHz2a0eRItATcD3937WIvZEroYAu76S38eubDskxUb9lHR
ZwvIqDX/JOP8cm2CWFnuBqQcLlHcxT9/CW2qlkX/NB8HJ3LeFCYQmJttxWWqlyKd35/+/3awpWvD
RKDhUfP+LRDMkAriNpxghWt9zirs45hZ2OW4ZsMu6fcH++Wr5pMFAbQpk3gVj7N3tzp9K1ajInM6
0pTCxhJSHFcWNyK7xN8fSLyz8YnA43G5vLvpO+CN+n5hUthJqj2wP7zAJdUoJns46HGB6vJnCoVm
dWqypZrIiZmDJ0jumh2Jb9NcVSyvwbrVD0maoxMYI5ultbLwZsy+lAcauJGyUL3snVks6scIMHTe
jwLZv4PtAyzz95/k1+8Hhm1IJyzvNaiZ71ciaUWcwC+VOoqZKM5IOfoJM0i6j81/2s7JOXMtrgHH
p8GCKrX3rzdchKIbNBNyaXo2U+eMz9/Wbbg1BL0jTqX/qB8ub68fHowOrzU/YIbG/xKj/uVbqubS
tlo6vI9eq52vnieGo3Si8OUiiHi+QtVp58J9rrUWf3jSifeXiMORPTqfbY4s8K67yyDsB+nSKaIu
JRaaHS1CE+WMzznwcrJh2CxtsUBVg7/xw+XOZqiVpW7Dpa2woukoPYiO7oGVENn0YF66n+Z80Wta
6S/r+l7yz5dBsyyBWGOYttKz301GxU8aU/cQUhqxQAoCu753aQV8kcvlVRi8DPZTJ8EODHJqaEP3
lD67o0YaU1GO7pcjHEWrtB0Aywa4lvMb11w6ukx4JPfM37Jb6XUG2PbUO9eTZcz7GgQXHvOOKIMJ
zci8RpY2K9oA3T4EciOb6y4nLE9jRjPj4ZvamQ30nB6xhllrfCMuJJHeSmDFQtAEkID2bULYerPn
rKq5Z6wM8ahvrML6MsogRxQ3sJFRXdksYih+8uQ8gEWIaS5r5/qK4kxEb3IwUXL43sxZtTP/dW79
fy0+hzxCeQmLZV3TNtxrSUX11jfUcjIEoNfJ/FIDpkNyv4GhH0C/lMnZLuuivs7jdujula2QdUXj
L8U9VtnkD/Vs8r6QfWe1dFR5+iE3RXAde16dP/iNpb5oZfIpSA6481fbq3rnRrZgy9b+WPA145Di
L/LRqQDF6Ts/NlYIdCYXmXM9LN54FA0iDLs073K98xpsfBt0EJSrjlJTbx+UE8XBgx3xE3sviay/
CSmAjdBZbzxqOghmylehAm9Cs3KQcJLCpqO2Gge3e7BgkqtNzuWSnAnqY/SyJh/HugEx/WoYpPIJ
3ncLzLmBarTxBI9wFxJwc6Raki2u8MfUv3aGyBqvErxRVJNpa0hvv1edkj5X815TDSFWIiWwD3/M
1PLpewlckLpcYFUSeOLWSOkD/r4OQLPn6sP3hdSQeDW6GR5mnKARQkgAVGqq9bewm6Mzrk59/i7B
uUXPL2MnpBydTLhvaZQk0Vb1amwO328r2GuLz5pn7+gToXyrLi11oztZT5a2qHRE7UWbF53DY1x6
LldRGywmlqRwOa9CLZq5nan+7yklM7jTEOfO30czABfeItdeFhKxw9ouqH3nrbSyRYmVyPOMXdn+
4MBEgb+8/nyvR2RM0K78a5gl/bzKzVRnO6zfpjqVZPHmfdkYTBqKyeHEOuR37V0GqiC9V1XLL2KZ
aCc7KFrqoZqtVn/qtW8bZEl8N88fAgDA/Y2rCzKfWVY5zK2jdPpKozaXbAYlzrmfLKrHNsnE2hgi
gTX6Je9jxgBJDawEGZziTKY5oL1w8/ivLMxzutZcUMWNvSpS2nqyVRTNJdq8UbjZsZAKtX4qECWx
T1VzgCIAJehYmhcGMQp5t9Rizv2Qjd/f+P87J/3DnNR26aP54U3/izHkBYYN25afrCH/+kv/ybCL
JYgOfGTh6F+iCP+akwb2X7A5eVGHqDzY7W1erP/hlSzDOMvEOc4L0zJ/cIpQU8WiiP0+HeNCCO8f
OUVoln/39kYfWSwp/Eh+i8V+8vMLdAEt1PUUW4cgmCr8C0MdrKVJOHSuppYGExuPc/RpqgKacRfT
3bMJnG/NWrQ+pUnc39o1pUuhHOwdt5kVMZFzgzMhpOaEWFc81dXylmWVfNVGHTCMSAcQmNs3E9u1
xMnMCX6GmFW9XMaFTTnyCBmEIb+4y4ywXjrynEm7b5XZ8ozVgrkHERb+0CJnvXRebXzNNW62nJSF
/rrId35GfbYz3ia1v5WlQsvX2Yl7uQn23hBVT6Pt0NS0io3eue07FlEbkdTGk+G4TQd+uRq2VPKi
grUyXykoF3TtCFvfWlJjWs6T4FORF1jDVTcEnJZaiIPFu/E6a4Ah408ngcBKpd5GwTi6OwiJ4ElV
/rdTztUpXgYXbnCB6zv5B5mpautaEcByJuxrwGvjy2U9UtZE2DF00B1YN2VzjsLZ9PfU1jg4sQfj
Y4cDc9MrrZ8TEy2fAFcB3Wqm9OalUenQrX1PM4uZ5TLE0VlE8Xh0GZf4s9OJuza12WoZJAGfZMuD
tW9wRa68Ymw+XpbS7Cmtp+9Tku8zi8uMKcxZgmElHK2n70v+olmcbzgReXtKwq637Gp5sPudYtlj
NyhhW+yHPEmDJGTHw0SHp+1l7WtJ2kpIZLMM/r74iMj9Mf/tK/4c5iT+jmtPuX/dLCqkCGfeDry7
o5fMCRY1rUe+6AZnEYGTmGVBrF3asC/jx6pj5Wn1tGCuJJ2UA5cmY2dhuXylF2flyMyK92UX2lcU
hLtvjS5atXfwwKcrcmnzKawmjn9RMARjIN4nzswHuvgWRSuZSnfLm56N7sQvMPJmYGEU0zyyvrSO
Q6dleRdDYqdkaZJ2tgm0XzibwK95B8N4X+ZvXWTSo9QsElBcZ92XjA7wdZrP/Ds5XX4sRdhUuBZZ
huRbM1RRw8q7qN7Yevjx2ls+fDB3zN3my+xPjpr/57IEc7wSMwMcWsZmiwTjxT1930bDh4h6YZ7B
K9CHsxyRGQSrncFgozAWFtdme2lGvEzPRpnzcgWnxELBGQWvSykt582cJl7Cl/Zwb9GJWwbzA+1h
mkFhmrnOfZwhNeUEceqr1E6l2kZejwjRipSfH9vwsPdTiW82Aej76nTZZLxcfsugmPv4wMsYiA6r
fX5Zl6iaWhnCtm4BFrAELnIS97i0R9bS+dIk9diNObtO1o2L38BcpgJBNpnqtqM27RR6qj5Nsubf
w2kpPgfyywqGjWO6z2uDCyJECtx/XyD6BMMODhPWaZe2TfFtZoiH0d4zOFZlCYKfsWsE5b4m/1af
fKvUjF6bXAN0yjFYd6GYD2r2xgeTjorzkEFugAXeU6Rb98TA0YZwoLLkZK0e9Ou6cYNp5QqjHVZK
qHDbl8R91hNrwVvP9KNTtpQXs572EtA5vvWQJRPYUpYAzccOBT3a+Rll5wNXMf6yoNzNIK/W5hC7
933aqc8Z4DcWEbx0Xmg51Y+BZ7ASFpILW8hR8mE4AddgVww+XZnX9mqu0ahxGMsCmHGIXL3mlOGx
16HrH0bmIp9bnG321gIHYDNnH9lWCpU7VzGQtys0lEXe0JRxSxJ5FA1gaeWA5Xg3Wq6zBd0IA8oA
d0h9VmTBuZROcwViwt7jcU7gv/PGuK+spnoACI1rfsiB7q/wd4tnwAj+zsDG/dXxS/sYUax8yOhp
+1K4/vwSxCzLSEmQYW2ll361Wz0+0es0XTVlVW7pwGAImhrPMjPkSyIctcFsjHO2CANcIBZrLMGS
+trS9LcXoa52Jkv9bUXpxFcMISRpiWOoE+EOP0M9W7K25RK7nfIMPP8YkcUNCfNf9UDzb8olqute
UrvRJcGLVZvVJ4FRucR74SWS9KUZlNSvntrpWC1R4IJMsFWyOd+a5AflOg8GZV0XOU/z+9mxk6vB
DPfd4OndPNhAj7AB34x9Va9yo4/O1SB5mkz+qkqNpn+wquqDDXciXnfUaMT7oU/t64Zya/Ec4bF4
GZNCPhajc07coX3ANRCvxlhZDxFSwmPlQ8ctepaRdy2TlQP6O8SXODE/xJgp8D0GT3MsvNceqyQo
KbeWjFNQS7g/MIMfBjZ03PjjQTfAkftGnJWKa8hhTULvsJmY12M9F4C82868V0lNeIpJw7bIKCxR
mS3Jog80w22L0QStRb/M+ClqNJ0ijIzcbGeWfV8eJsp5kIAw7LMZo8Ay0Gb3BB+XxTASGLssYot3
feb0qxKPw9Xg0Ui/bAo/aV7vJwLP/W0nzE9sc9slTz11K2vUjQf/NsLN6M3ZZmCe9DiFBvxlnVn3
ueV13wbqxz5NbHLaN92ZxXCfejKKTx31dVcxMLF108oPAqbnfULEAVJijrCAVed66LAXkJeAruKR
WVC2cSdl520VIV5CsH75tehGfd1SOL+l8UzcZ2k3fAxSj4xymXjnsAld+tzHGD5thWl3Zbokj3wj
ym8I2QtCP71p3Dt57cId6WlKLgt/NTiePjaqrD6lfees3bp5BqhMf4MpqQ6qhy18R3ejMvOjRZtf
Nmbq2phc58MILgKWZz6xQY2UtY2MJDmp2InvbNi5N70vD0E/dqvcF9CGTauP8H80mubyBNr6gDq0
FrRxFCAZRN/x8jNuPRrn92aaXJcjJfGisF6jzKHCscB/JzFArSFZ5BsqtIuN1QxcB6KhEF4DZY7t
MJo3sYOhpfJ4he+WkQ7NGqKx74PY8c4BA+HHWjpUGciKwmmVJd06nyFF+91wU8vcxf0UP3tmiwdQ
GumGlnvSMNXk7kIMpY9pVg8VKn5WYC+w0o0WRaa2jamNVd95LrhnlSTnkrzELrfN6cmUcjhNyjZf
DclfHLy4vuEJRGpTq1RtujK8tztz2DdVz26fGXlzsonGPiRuWQzrqVLjtq+rFETlWFvHHjTxfZp6
5kZG3lVAVPu6zoHNmKqI6MssyWD3yYcsKqO161oBCwo9xM9DE7YrX2mob62yj15T6oM2Y7FywiTY
eb3H90B2fPRWZWmG8zrwe09SQJ643Am0tqwb7UKPZ9LKwisJ8S+yJ903oxO8NCEffGi0fIyy2t8p
3UYZFhRrPASZSjcttPlVEDFd19J6SKKlLl5m9FDOU6xOtTM59spMpv6kpVPvRiG0vePv6Bu/1LT8
LcCAL1nbe9/A7Y/blMwV8a2wKz6TQmkPi5a0LZalVVMquSoGCLEzXZcQv4m7bVOjpW8TZ8k66IP+
ZmwssMtT0a0nxitUavriRHHWcDuroLGfeb/lN1hQbMiKZajLc9aliL+5Wz/0pY69hyI0bGyGGABX
A/kmKK6j83eOkT/ehV5VcQOZrAVzZMO7mJdsPBT6usrphppootXrDGH9XrEMuBFF0/Dknez4A6V/
VU2mPGON5YQf496qH+ZozKj5jpMd6vJ07QLMvW2rhAIr4vgGrEW3P9p10Z201U57nJL6bLmdekrG
8khV0akJaCNrQ9HelVBmPmPzN/dYWeXRIm2yl3HwwkJt3PlKbgZfOvfZMBUoDNCAsGvpMi6OzDwQ
C9JwnqfViE6YkferapJAwpvx5JtADfKyiLl8RDGsGEsUK3xdnBCbLqq8l0b5eRq0OhvhNN8ZySzT
bdykbv930DVPoISqHKx12jvR0lnPw+0q0t6+TWz/obYKjHOFTk7kfv0Iu5j51o1hc6Oxsq/SgGvh
ivxbxPecTXQWoY35DyGxCfM1LfknOa4kNoszLiVku5TeFTKBbjO+zolTrx1bBrF/xt/Snnn7XXUl
b9DxDyOtd1M00GM2nXUhdifsF86vqfNw7CcRs671pXSuRpudqJsm4gnmi/oSwub+g5btvhsScECH
fLMrGN2Rg8UO+fNOHBLoxGhH1QwyZXjdJSzdsRK5b7nRIfyIuv+cFFiHb+Mh6O0rKT07mhhqGEl5
k7kZDriLhcJrK0felXKwoPF4c3OUwsLPmXThFkgiC0AH+DXLNlTtL2Zs2iEbeqebH4VnoFy1OpeH
FHf+xw6c0lvtDmP3qPB6q93cWRYlERVivPNpZj+RgxvTbNhihDnW+jF7kXyxKMI3bmCLEEHlkqm+
ISEChgxjVvRdq/jznsBIbJaO1tdE33xjeXaabLBASd3P0KDULkTMU/tLR/zEH5R3kI0RYSVKrN4q
fBYfL3vhEgzZ7Q/yzfn71OLHxP672RbfAcMZB6UGcwCOiveT+pwVcuQpsz6402IvdNMM9QJYCtu1
3x/o/dDkciBK6lkG4EJgRPjzlx1IdnAtTssD1UF8xYt/d9tddEfuPeaF6dIPHwPsBP6+mDj/6dED
/A/gHZirMbF9P49qcNoS99P1QWaNePJA32/SNp1YP2JiqrXBUb3OZxNgQAD7V0/9/5eKYL0b63GS
8eQLE2+C5eNLeP/Zx8yFKxTJ+qCshp8+jDFqvZ+34qnKiJ5u6Lnhww/OhF0hblijAoHr2fhVsV8c
YgcB+nI2/lfe/JO8aaEw/nDh/CJvPtZ9l/yf9ZusaS76WeT8/lf/LXIGfy1ipe9B6lwcUDzZ/qNx
LlM5Ro2MCb//l39LnO5fgh0N7jYbkVW4lHj+OwpiCxDPcC4RJBe7EcG6fxIFcS/ekx8HlOirIMwQ
WgN+D7ww70bxfSrySoIYOmjs3iNNOexS1lWVhvukapudVy2GxirOgvsQZQwoMJLv7ejpejMUSUBc
2u4xXkep/UpdzXRGx6keGcxEn0if6XMz20xA/HF2D3CKEWdCztEpNViT+jnzNYaQBKg3HQko+p4p
VbKvg8JIbnOrNtA0HNc+4nwo2m0bpjEe52ka6SdmyKQ385BV31QJ2Bn5aXJ2OT6Su4QuozO1Bc7a
qBEDt2aLjUFGU8Xa3XOpgzTsRLBt1Ip7qJ68G9TUqMG1SetojyHkOM4BxnudmtUW7WvgUcwvtWnL
qPvKUSzEPKeiIjnqMeGuAkAqCT+4mLaXNIOOWI6vYcHXhMsMWMMp97m/tUkAfEv5wg8Um+kzZYLL
6BA+9JeZtXS7ynl1vDazwZSS2Jl6xUYMX2I08wea9ujR1gR86bionsjH1nedkuBuNMqau3GQrEBC
JD5wmaIsKA4yraUGEGkzuNc5v1dL2w+JPiuKwHkRj6bsItP+PWIaAfQ4CM5RQVwX/LY0rU0U+k5F
ec1Y7/ygRGSafYI/ZXOXW214piGOzUrGKP+gOH9A7gnKk2hu93OSjNcJKOudTgbkyNSlOcSy2uDe
cLha6F8viRUH7qG0ICJRSmM9RTXyCEYc+2iABLvSvV9TQ9IOxuPsoDF4fmYdHUVrNmCU3tkwqXPV
YTbAWDq9ZdMdkLZ/E4trP8q+Fq+NyRqb5pCWQig3dnERGSXgZpYJ3irAPn+vGwL60+SEj0Km8T11
QQiToZZGuHYHODGY+RU+dsMVmy4xxrdgRt3IebdfN43tL90bJtRnnVXwIXxID9BdJjHt06g3rkW0
cAlG4ZfwBXVQQQKgEba7StwcE1Q8Ij34LBLy68TW4Rl6F+qTJT3vubIm5yahLH6MIa46BmwElMfZ
hR0hZ3sfw2oOI0CL2dhMK16IrD4mN62Dj+2i3RodeSNkNlY6fD8GvG7YbH07bgMqz3YxE3fRH6Ja
Gt2x85revCradkpfRaPC7oiz1iWzxeXzAce+8QiFR60BwLIlKYcTKrl6TdryNgrt+LroMWZ/5r0E
5mElmESD2Y6pPqnQ/gvzGU9HukvnCWl/7uZtJAGTmeDdEb9hT7RzPL6kHRhqI0zqGzaiLchRKjyY
uZNnIVNB+EIgAuZcQy/gW2N6vL3EeELyi/a0+mLjZ/ZM5y2pumYD0LrdeLkGBYTXF0R6xe9wmJhe
9quhF/1mwlZ1IheTXdW96W6msGI6jiCeqegqI9izDoNaH/FE9FufEOXWoQIDC4jej4ZjfHFnnjQE
zNb0I+x1AJwQXKi1mprOv1WTfqQJM9748bhnU+q+WFJOq6zv+9U89fXdGJgP5O4EqRYKswwVEv50
WvyTBZVOQePFuwi9RWVudTKrRn3NJv/WnEX0kWEKwtDYFo8VBsS7DDfGesod5O5CDWekBLaLBG9W
IzyVvePNt2kbTPvCMbt1AkttN9EGs1osbNTC4P1PpaR7FgDLxzqCYjIV/t3cyBvk4GjdCDZ+jIPk
nvyA3CHhmjdSRhRZqgKUgKr/Dnna7qvUCrZpNEW7WnYZ+H1XrVket4e5rlPibwOVo2Vq0cK14P9I
J9SpUJuYMfY696dqI8IeFbGr5euYteOBitvuOetlx4UxGvtY6m+99NC6k2zadpKhCZOQ6JOdu4SH
L6tXLyPZs6JCyLzqvXrMD3bpuKcKc+ouDBEsSPLW6Z4El3OkF7dYa8Pw73tYNdS882rKSoVTznVK
rgpv9m8naroW3XSRkoI27R5C1VKX07rcsm7JoL7uk9s5DNq/qxrRfDWTgP7Q+EW5s/pBLqVZwa5U
Xbiv56H52BBDfg1lbGw7cKDrGsLNbRUI9PQWmFVpl8G9zX+AjKmNOxXEL37cluaaNHm/i9HBbwGq
WhoSQ5dbR1dn8XWYlwGyTuW266JL4cGAfKgJxHnpzHyhRA3v2NkNwrJvCaMkKywhVBgZzWI1Bua8
9xs/PxoyZgjXxP2qNXrjpWtM9coVV0H67MfmZNrywUO/uNdzZ97aZNo2QedckV3jMnDGncn8cI0T
gXwF7derQTnGlYTU/9VWTvm1Lwm7eQmqzXrootHlPegh0oJ0I1AET34DEMV6riHgPSRhHnzRQU+v
QdhCG4nEJyPsv1EAEH/whEf6ZCKirRz3GViGccM9la9pRhlWg8Vzbp7a6DmWzl4jTDIe+RwISprn
2mH+GIEnsdPpA4SKkIBQLTa+L9/akkTNYJtXsL7yLZuU5iuBkWGVZwYVpoGdHQaBJrwW84TC7EXW
uVCe3OZqzFHVvdsq7qrrcpb9lo4Dc1pBiE4ppE3kCOfFKmcaaJbalBJOS5bAi96wlGJ9AWUMbIY9
FAffyubNwuxr6Wfm4Zq77bKYaYN150iFnG3Y2wSL+JvI8ydDePXGxlP5KRHUT9Rp4H+VlnzoB+tb
hIjJqA3Z3PA/VoVlbgD1wwfMTf8YTsgODdvRlW+3H+t4bnZz2B/HCjk1T5pmS9dsjmdqsA+Znsor
e2iu3MVjlHnWczpO+XXBNY8U7i0OCRXuRdYlRMSI9gwFDc6dfnTmRJHlW0p9B1BCSTZ/6Vh/rgF1
149sZ2FUQx0BxFMCAiV/PmzhBHf0xalyp3t8gdIIPkex+GAR0fpotq59Z4f41MvAvW+tjuvK/VyK
0rpKgd5smyRtToDZ6lPfiq9+Oa5ZF/xf9s5ruW4k69LvMteDCphMmIu5GOBYukMnitINgpREeJfw
ePr5wKrqliiN+Fdfd0R3RRmROAcmsXPvtb71tXWzJt70fKTAoC14cOsw9VtB55NIBaYMYJr2VCzO
raHNEdqYkeY31eMJR2J4rcLqTHHRq1ztk1i/iueWFq9Tc4sabgTZYTI3pFEZV1adfpiy2r4N8QLR
46Nt4ztmSROMBG+aWJrvDDbfjha94JV+oTWtvaED/tCBN1mLzcYoT5XTMesfvXOzrl5kEh0akx5R
rOknTIanJV8HsKRlMrby07r4rHIkZks73Y9tf10b3anTykuqNcjsGKh57kE/zHTRqAH7KJhTHnP5
mr8prUQy1cShfFFCrbywi6aE0qN8c3agRmko+65NRRDlfzd+/5NsBgPpLt2l/7//f0fqX/Ij8eSv
n/nb/q8DPFn3bwBPXjdv7PH/3vI5f9g0NKSH8hzhCrKSf8taDCgnq7DO4gPopmPRfvnL/m+KP9jp
oV5mjwa4BBTAP9nz/dRdseFuIb6WJESsAuI3rbRonPQFNEfP84g/E2OsR8kuTDhvoicZ03ekKsFa
9WDTvBhDxHfn6hdNpDeNPGQQiL5XiiaONfa85pveTtPgch6WqduPvTlsnbmwt0Zi5hvwj8XhPziU
t7oRAGNy6t4cCnkBPv1CdnviYJI95kSyAFuGaDBRm//gW3EqATc4Bhf9rQlvMVhNZkh8+1faIduL
ZqPw4wbd5PTvNMdQN32vKH49gatKHxURN8VPRqBp6Posl5xALwkJmWQuVipmB9Ngb8DZpQG5tBrc
mJCBhk7R8PtTyj34i4Ov/QruYjYtb5wMHUPs0Kq7bq9VwvbX4OBtaYjmHb/Mz/eINLkv2acIEO6u
8+YobeRa7dCE/V6RY6K4N8u28+XUOMOWlZQu6e+/lPPTl5LsMFyURwY4UjqcP7YbJcIOKzY6yOCz
zfAuU9/glr7QYS3IvSnOKZre6/L9fBol6jRcR6s9B0Xum6ZLGGcIE6yq3+O1AHiI4JGLBTHz99/r
TZOeO4WjCGT1rkMmtbTW0/zl6ZY6q/0//8v436IPjTJjvLK3yAzxLU27gDx2QsBjYhNHDfn7o/3q
LH5/tDcXDYdC1EToYPfuMBqkTkNJHIoO7WlGoK3ndcwssuffH/KtwP31G7KdRUKIKZIb8s1SNsfE
4I0jj50R24JGuMgfIp00UJs93wFmB9rh5tYZZpc2ArBSuyOJtJbWoY9UxfzfG7b9ZDJNGZ36yzQx
o5kRzvlm2DV3C3s7gIxQ1DE0v7MwvTUErZ/bouemG+SxOYjx3txxbhvZZtXxGCVjD3JdaCPDommS
w1bTQAsnrYGZ1QWqR5kO/jWfxGd9geyIWoYJN6b4ALK/dzJcK3rnWZC/uDUtttLW+oRL/v/mo6Ve
bmeLzDtUYPHWJDJ4gwtwCtAiA5ZoovYDupQUg6+NkbnKl/JsKlN1QR7FkBFcxvB10Es/E9DQG8p8
3zJAikMrJdgDA8l51JvqigGbdoTtUW2Qs4ODcmQdNJ3yHvoxYd8yuGHgWVTBSmjOjg01LnJmWkyI
p7Muo6BGXtMHxKcDL83leSyyD/3otlfkaaOct7Bs05NMNqPWnSoPxlKTANKaRW6xtczDCyax65i6
AT5VZhq5W/NLNlu3HZQC33Oi7NDZcXfiN5e739+tPz8gmDcpDHjqxRo8/+ZmJS9F9nJcL3obX2kZ
QZaJqx+NZLrvlxB8XY8I6j84It5KeswSA+xb36GnpgHXedbtVRgejVZscyP64pXiQlmIsjPPfvz9
8X5et2FQs9oYnsH4hCnGjwtOG5FhybXp9umckzs7iPEYVYhkXVPNm98f6ufbFN+TyTQM2yhWq7dU
noiA3XQcKt6C7iDPiTU2jmQ7OO+cwF8ehekmZYplWZzDH79QoYd0HEdOoGYrHeuU42kHko7d699/
mbdDH9YDvg3uO6BGjuH8NN3MEm0x7Npr99NksH0x2nRnM6Te2C1aJgGljt0wN77uWNGZcj8qM9pX
IkveW5beyJ1fPwYlDHMHQ2KMFW+uX9NUYkkGB8XnlDvbsfHyHWP6bifGjph6iyCRo1EiZFJ69e11
E5Z16Uiehj5cFstincmses+l+xbW9+dnQoJNYCTzZoYeP16CSGiaFsZWuy+jvjzqSm49vR/9peya
q7CtERrCTP2USx7lHEjOqa+TObAT3dx4LqoDp8y/5WSOXcH62SzL+LlPNTOgBVTfzWVPH6nDroTj
Yzwr5/xK07v3iotffwFEwUgREYQSr/njFwgN5RWzO3JSidKNlFPv+lFEH2JWMaRRTrpBTqSTe2t3
vLFUcTbHy5ObOPetsr1jX5M4PqGK28YQO29Q+1X3rli+LSjAzyy0w7uxjubNSK+Dd0WXw8pu6nde
CevY603Rhxbyu2/w5ikYybEQhBpgHEMXehYuXnlGFEC5STV90yWKRb4nTTNN9aNVkfTYQuV55zm0
fnln4uNfMZAMRt8+7u7MWjLLvt2n4Dfg+KLefKasunZES7fC0+H3DtNHxzTiLy0Qjn6IgrQyUX9b
dDOGqN2ZaAc2zJUduqgG0SaO2ddBzAH35HamAZRC49tcGgZLpXPnWNlWwjnZ2JoHVgrmDqoS/UKT
Rr52QJ+cQb+zwX0EQJf6oB699r04u59LN9dmN0j4KoNBeBBvTrk0XQebGAtCk+Yfy3DvDFDBtYVh
D/MB65068RfLNqFyEOmo6/nFbwEGLYSEUrHo7OuofPESBFWWQd4NqejvQSfWHdd3w8b1YeZIq+8e
zYjDTPTHZ6EJox7bmuROUtF9ZljRR9x1+BWKmd2EnAkk83Vbc8/A9Mfv3EK/ePsi2TVxalm8mH7C
DHRR0phhipO5d+ZPYeeuOem3ughfcqd7Zstrv/OCeq09f/qukqw+AxMmY943l5BMnHZKEm5ZtuEl
giLqnjm0NnNJB94alm96WNzjjZs20VxT3Ag3CYY2wupItfL718svbyaUG7xZLAcP+5tlHaHjINHP
tHt0ht1Gr4kwF0hIASMREiTj9OX3h/vFS9NmlsxlRrDzs5/X9tIsKgg138/YGPdRzVRy6d34nT3i
L88vdnWQA+vpFW+9ORDyosoQdbtnj6wC0oTizVCmXmCHrnYcW9TC0SB6qKgN4a8hc0e6AfmWofD5
stjvrZE/b8pdqLJUy5Bu4R+8fV7HuZc0TzM+zNDpW/yD0a5VyyWN6iiICkMLaiSn+9jpAFRlvf7O
A2z86gmmGuJkU7e76KN+fK46wmpMVGQK0baIn2tHadInH6k7tYkh4bzalW0HVc8voPnuMT4Z7CaX
+IHrzPSLxomzAHjieDnEVoQ6FwSp8ecc9fd3xi8+pgsIw2aNcahzXikS321IY81NZknQ1t6eQrUD
/DxsRYv7mlo+eeeU/OJQSAmgUegObTj3be8nSY0W3bHT7DFqFi/Cmpl5IxJmaGLr7dd//LVWPRwu
/LWl9tOqhjEVVqIrmr00E3WD090mwWT1KagO3ci/Go3XPyuwfrGIcSTaIpSICLDe7hvNJYzSqudI
KLmjTQjy8a6IGrDreov9eSoEMffx/M7y8ctTyf5a2IZtCDA3P95cUaSXnRfLZj+bpBIUchr9JC3o
pOtm+86hMPz//Iag0iA0duWIkEb75k52M1H1uJa4RQQg/p09Yxcn0UuMTFiKEDKgrVpzY1OT50Fj
DSPBY53qp+2C/7S4YdLAw4XcbvGOYTvnD2aNSoU4jcztoacjVvA78teeqpHBUwYEh6S3OMed0aJy
Jmubr2QFjk2Y5sYbJPLQEXjMfA7ol8EiqXqEtAnFGALXN9bW3sRelYtJmjuAJ5O9taCGmY/eaCTF
NzulWQJkkh1MfA5ygFgelWQq/tDmlTGvoRCe3MeJUYitptcG6I1p0vZtnw3tlSzK3r0UHYmMN3ZL
pMGOf9bGXcGUPmNwKDyGd2U2iOjSdUrpbJiQV+mul4yQB3Bl4ZkqtQooKSpRf46Uiao2Th6KFiWS
P/WiSo8MsSMQ+32FRWgmFzPaFjVE4Yt0YDuZBLZXj/m+bUfyHKdBzhMIyTnUz1Gyhjp9h6I2N3Uh
1+Iqwdn55LTM/X0n7KZgcUWl7uDCa86+6tp0vsYJMtyViVDddtYaz7nVKwDQ234eov5IETvtGnfy
kp0oI7v2RR0tS9CSl7JfpenVNmeI2UEuI7cKZbd0P6AhYOKbFxXKZRGjjE/rGm2J29/Q5931g6w/
hrWZP+boAG670h6ZWEE9I34m31qNd+rzeVc2LWIVp7wNHZqoIo622cI0lcCgcZMxjt1F/XBGrtQI
1Lt9SjNbQDM0CcFKEW8jFPoqYDMyc5uZ6Avl7O121LceWIK98BZm3yPje/D80Tmzq+nZ6TByC6hw
fukMT0tjy8NgTfAvJ0a7Sf5AmvLW1uzmWnqF2hp6mVwjw4I7gDP/3C3y+NIauR7sFhK/TcKHabHk
XmoGKnnEgABXwyM5XlkwpVlPUUE2ec5bYtO2znKT5RNptIxP0WhI/pKtah7STYU6y4BObBY9a7ZT
R5hHCjWW+X1WnI8W4gyu7DWZubeFFk9bY3Tj3YJpMpiJHN+E5mzuF0rX2zDK68+l2+oXJTIk9BeN
vcF3ol5IZC0DrRvqDTTvnDl1JY/MwBYfO8l0RDRiHtvZQaUzDWemMe0SWRu7TM6Phd43j2USHuAN
3SX9/AhprdyOukejrg8fC1uLFE9g4R6H3ilx6JFNtkjtPvPcNViCCCDmdu5WX4M2SOBDRpF6yyZm
33CbKG24biLl3rY9uSmj1V50JCWTUQR+FnzFt7ZBruZauKiStigOZeEOL6Lten9OxoUOV8ZomGFd
XxGdabE1N3UFjbJKvO4+q2CV+iY3z8fC1K1p4zTsI3iZskikUT9+qjn3V+AQE9oj8CHdzDjqfTRv
taqrCLBc3HP+BuMPDwR+F1PO7QUYsWhsP82xQm+KvTQUI+Fsrak+ISLagc0BRq6ZfOa9o5nVlwnc
ZX2wshwhTOEqZuBzZeA40zQbU2/muIrIxHmQ2hntWVTFYdUkB6U4U36XlflmcYvh/lVCh9/DvA+L
MkuOY8qwXHoJyX4jMogKDCaYUCQzBNO2+jOpuNST9HfrrbPo+TkZjOpLh+rB3uZzxDCVUE/rYppa
+46wsfDFo7kPCBfINJvvcNAxSbhYdQe3eFH1mi4zF63xuZyAPbJFkyevNMH7eYSctHE77zsqlnt3
FumnoeX3ALqdtlVnNmcLCpnglYeAhpzYJDqwmp+uadKINLgTYstrHuPIbfDqiWwH/7R5hBeCXU6F
JEBZiDF2CfbIj7JqCERyqhHaRCgRnPVLy8PxGjKS6aRwRDZ+ZJCvKAabNdOYFvKWXamn8MIYQ3Eo
auATfodD8GEN4low+iKn8b1oDIHT6oKYSQwo1rEu43y9B7XxLPLS+E4v4tyvHNWbO1QEtfZQYuvB
MlxnXgxYe+GjEtf5MJh4ni6jkEyNxAUdVukkZlUdg2GBwehYWyQKvsZfDZ1J/gyVSIMZJo5P6Uiy
Bq07c0vjTJ4ixaO6LcEP75aekJWxmkSxdxwnOpELPTgBDmZ54iEiYC/k6tKEJ8uu8IiSieP6WRGC
diMWpHxtwvlO0mzeLzP5Km7MSdWUmM81bs2bWqr6Wa47TNTxS40lpWGGzplNDnIiScfWwF8bSjRn
tQHIexlaMpHmWj0OTOth9DrEWK1QFNgNMae1weF79hqx2HsdVoOxlSexNNrqzfei05RI9KCjTSbB
1yUlRX3iDYypHe8G/P35wuC1TIyAl0aBRphwg+ZmDS1z+z4kfbLSjfsawOspkVX4gSjs6AocafXZ
juxs08H2XfOVl9BAhkARKYHokFPoEnSpdDxpWk/IXMGXByowfXA1In7KiNROLPlEm+hadOq9xiYL
wpVU4CW0gZOwmvyoMpxMPmq+LN0kGbGHJIjxB17jqaNoJDAhXRjX4l8eSYFzyR6bZ5rWrjOQYxUJ
GYT4fY4GCFDu8j6ue2YuprxLChJdRNWhJhorPmQuEZS6naqfrDQmvg61JBnnRFmfZpucBEQWpXrM
m2W6du2WcLI1XipZLzdqIPdCIiG9bdacJSMj58VzHKQlFBnxSbScNRcP7rUeafOLviDMIkmYlDua
9uGtWWCBbfSY7DBr5DdWC0waQ58+vMbHLeOAmnBRtMS3WhHPLw76pRJ5LcF5Pv0WDE+lrY0QYTVA
P6zkS4EXXCOSRsRsuXz4LuRQFMNAelfccyctWqNYem3BncaaFZ/yLK0MokqX6lqzUpq4GIG41nrr
xsORIFpChLy2e6kgsxHNoxdp0BRj86KR4PrwGu41ELvwzR7SvkeANTU3rBbLS2WmtQrQOqO3U6ns
v5luT7xNCNX6gJmc02LzJm/3Omn3yn9lBixmrt16HfaOxLGHb7Abmxty3Gj8NybhbgOmaGgEzY3R
udGJwGIEbF6P9aB1rSPrGCDq2eX5LrWo+9ggptJvkNu0rPFVVshjBVHvhYrauWRPHO7qPlSr5Nl0
6Jui32EgbLmf8YB1V2FR433N8+Hw6oVveG1eWEpkvS/hvF/bAmlvTSLbB1UPoQ8l4aWLKv5VW9f1
Jhxq61l6kYR1DHKixoawAQBRBqho7b0RgdNloik2Wad4DjurmPHvQtahCBmhSqfhg5lHIsi16q7z
xOXgsCROuk7UYKfUZuy99Ipg1TO9jwcUhjWImTazT/pYGFexA5retvCnwyvSLidbq08YFsM7OzSr
VbKN2bFLCljbJcPGxpD6USbd2TDP+Sbh2bzUo1FdYJMoz6IYXjClPiWgx/iPFuqTJ+PmmDkl7KRq
sL4OuThrEt1gSXP5i0XQdmkbdTB14hyKt/hIvU0qsz4hmBzXOVPV7WI6y4A8SGAL1uTcA2jw+aML
/uJWJ9lq50z1wa7yZkMUWhL5SVMd3HF5ov9XfMoKZ3F453CSTE1ELPTscAIHwXIcpFnWHjNNt/wh
RFuUFaLewe+X50XYTxuRm8UNfwPOg2HFfd9oYIhGL7rtWw7Sy9C57nWERzSmV08ttD0PDtKD3Xb5
IUmchynVC7IV1yAlnVIOyvVc+VUyxpeJS+MG0ecxtBbjOdbDcTe4mr6HCrJs3KS3NuPAw0gKW+fD
9ve2EXjkc4oL8TEVcl/KqcKXnLIAVxDA/MhuvL2Xe97LkPXmx6kWkAsKb0G1UIj7Op5S4OCe2EnW
Lr5amz8Y0nFu5oGrJAcslzuHutBXnYq2cPzqbwujJmLEoy65alJug6TMSaUmgrlmWSOtwkdBiqCx
TlXAAMH3ls4MesemoBdR+pTOU3ZGjsKhy5o89aXQLqo5nW7IXfzYJVoB073ZYXhIKdQkAPsQMDQS
1PBDnlWUGWLYYa3UU792u+TW1dWyycAgn7fgX4NQj4lCXjHflpKnopZVFcSjZzC0yJfjPFfDpY2a
uqRGIz+exNDyrIbDcspTOIGkqJPl4iuF58LPtZTHiBnacOmFXfpYgNPZg7greeVM8B+apaal0Sfa
dO2FVnMBDCZlV+cM8Mp7lWbE7iX6LbmxZyp1pkMI/WRw2+wy5yqft+XosOpXOcNRnMvl2HYX9H1n
aKvpgSgF79FjZso+BwtM2QcFYXgBwLIhSB2YWf6Af/txmoU6VqbzbCz2N1xLzWcq1vxzDoCbRavV
Pji51HaoYaNt5/TFzWxTseSzMhh6e91CymAY15RDExrNYkjONBLawdE5euscnMzAkVcKuzppRJQT
nTFjEqB9g8HBhEJD3HieswhV8Es+F+SS3ZiNW9zYgIRzP5lZQNN47L7mrak/k84df21CKKyBqfEL
G1QAZ5LEorsZF9r4qKh4uG4Yy4gws3PeEiv3I6/BVSyg3j7xtqR3tuQrYxGDtXWs0ATfUx+zM82K
WJxF2dR+BRbRfcWjt/IU5754yXA/4AZYuvCz3qbGcxYr3vQYgqfrtpnCz2am2ISLMMGGUC8hnkBZ
o4A2lwHXyJLJ8i5vJhaGNp5WS0aEQX0nvJGORj/F3B6x2VPggFWu7mK7x9SNCz/8jK+In/Fgt6iN
k0Km2YhS5zYqrRk/+dDyKbcpriRynVFpOWxiJg6aJqJsz5NFduwb9XIA1j8ijIwwmBr85kVzidIQ
I+3HTSy8Wdtr81oCdExIMQFOZOamsY57BJgDRStGba6StvCqC/KpDz8PakBoH/UwTf0wksWL2fcc
lZgHCIijsLzPf55MOWgImMFIGUmwtCRnBI6BottnP1HtMevhlGhsBMP0gjj1liHKO4l+rCRYPqXd
g7IgYYOZTdmhNugCnRAPT8aOKEwJ7aSr7kiLyXC6C+atwRg2fL/MkfRDVK1n6XmLimHYF0jm40tv
6IaXwaY36vemrONLokPi+2wezD2Gu/JjAffjJnO8BlU9mP/7Ma7b+TDRhg9PoudLH8wB4D6tdjAx
QVKGXDx7nkqN+V8l84BrwrNL7z+eN/RlOIuD1vHnlxIKbsLuJfH5sETbtEP7LUnbNN97vQLH03tF
ku6hepAolus8Pz6mQZ1kV/p/OBvwkxCC11HRyVjU6VG3FU0U0k9WaEiTSMWjLthw8xLm/UXShg5m
rXR7ZFXmMi35KR4snSxwSsicyIUOF5YZfzBS3cQaUelnzKRhaRe9dVPgUL1Ay5Q8LEs8fhhNciRf
+53/NR++Yz5EBkoX9l+d4Z+8h/8XwGb1o+nwzx/5S4FKAxWXoC6tlV/GFHFts/6lQGWs/weiMxtF
CGo3WOx0WP92HTooUPkplzLx9b/wGf5SoFrGHwx0IMYziId0To77P8ifQnnyY5cX8Lzkc6FnRebH
x3srl2Ti0BLQQ3wGXKV8AmPhjl2Rr69alo3zqh5ck3lNg9Kp32eoqgv9Y0cCurHNSnT492aBKVv5
yJ+4KXOVkuKA7hEBfO3eEStbt3YX9Hi1Xoezkyh3whq5vcvSmw+pNo5aHJRI54rhqIho4fnyl64v
yZor85nX8kDnqyVPtybuFFbnWUV2gn5ME3u+nEUY3qdWA35Ssx+1NcJurAYnCvTJ23i8fC9erSeU
PT3Pn6RXEePhKOlg96MGUmlc8Yxq8Laj1dASzNWyUmBykJ1LNsgnvTbXh7Frh8tEj7Gcm3E39r4C
VUOSLJlX+b6chnw/DSp3QRFVydFmAOBc0X8ZUl46erJvNK3id64Zgd1rXKBGyh2p1GQI1muaYLqs
wYLOa8jgWpGzBKzZgyaKgk/dSB7h+BpNWK0phXHbElgY1TNLTbvmGOJAVpsUxeQjcTHzQ7hULPAq
auoJpDBRrX6oJF9UvOYjhnnaXIwMzfetSQ9JGNmwJVe+Ya9pKIA3FYYuRzjjlmkiqxh7X3m010hG
j+rswuyYq++TVDSU1q0ifHvgVsfAiRfvprGzLfnlZbG3OiBGdiXXbmraOWjn0pRQsKEYHB+lrqo2
ei/Andh0ZpoqjDdTNPTuzhzHcTt2aRUUkTlEu9nsdE50RCc5MNp8fGFnoj8toOboSfI07rIwUVv4
pTNkTQ+no6cKuUeSVt8ZJQGQmD7zx0onfzrUB2MMarZph3yII31jKudEP0JtehMmqAK9h7gvRoqF
WRNW6TaK8mZHL3zaxo7yTpNsatxZCmBeI6KzmEhIx6+sIruzc0uCyIv7/KuOt+XYhakJ3sHBmANe
8DNPgxr8MjW8Z9R4Bg1NMHzZPuoaWnl50h9HVTg7YBakiHtl2N65YviiMwnZIJBcNqGr6HvxBCTH
yqktWHNgVbwgsl3jorDZD0FKcT+5DH73QxvboS/bBT6gHJhytGahWZs2bO5JfFZXjasvzzlMOuSX
0fyARbcgtT3kEdQ03aNo1hZ4sfUqRq2m8qpBgTH6XZXS3TaHBKpLm7kbgxbABztq2F1oXnksMQB/
JLUOjrXbhfltJkjVIZ+lBvtR7LvK5T5ke8MuVmT6Dbs5moPdZHk7UiDY47kS/uI5L+qUTVFXnyjE
vF1r6/m3EtPcsfHaKpiI411b8p4P8OhLqidiY81YUKWbiEPK1iWohPk0jfNHmStku1nkTcyJTEcR
N21JriMJl2z9evt6bDWMMKOfSbsnHO+/b8X/kTMD4Odv34r50/NT8YMV33j9kb99Gbz5iDzh5YfS
DnCJziTzb1+G+wcQaOQRSPAY5KMG//dbcU2fdVZdI7N922Yu+e+3ov4HAmug/pKhNjtoz/gnr8U3
ugl80zaRSHwKOg8MCN4mfKRGbYrWEhr0bE2kzFhnQq890d5/d05+MUN+M859PQyuPAe+BUJflI0/
jnMXemrzsAwaRD7gj1lVzBur190TaeIU5L8/1hvlyXqsV92YMDF6kfqyTnu/G/hzLdLWAwx9mI3K
O1GJrjtfwzojEw82ACOA91Q+wA5/LC04JNgMJIwM/1cVs/5GbjdlrWwMR4UH5rVh5IdN1V1Uquc1
y2u8koFLBPoDxh3L3DF9GQD6URjPe0ymbCIaGTGbGBCbsaVhUPMKTvZgfrCYeopt5JSoC9YKjwU6
8vYjjct9Yc8mEv5p3ZMbxQ0AVG+fa6r7QFJieeYN5KNrYZFchTOdCloPstxYdJ33c6MXxyRq8eh3
bXFD32f5BttleYgzoR7og17q/ZxsCeQqAcbl+mHBJHkpkDitAXtWf2O2bDEXa6lOQBbSD6aeMF7U
w3wnm7gMmEEPzKlK3LdViNJ6aUyU+Xrlq2Yet6Qu1n7eWe25Y3TVFRGJLMB5Zj3pBDMccntsNouC
GtSwFQKBNHmhTS4xI6YWFsuFvRTTDejBuPf1ZmQGpVyx09exFIkC9LE3zLvXgZXz5/jK+3OYFZd1
unNKxyvZeXGfB3rM7AIqQVE+9+giP6V95H5kw2reepHusf/UW+9r6rY1KHlP0f4tzBlzLj2Raado
wcM+ca2YXTVqQDZYIj+Bn3PrwEateOH0Y38+9+X44M6Q9dbX98Y0c+69lCxnX8DjPCUWuC5YD0E4
AbqHAW9j+NTVp8Kphl3FFHPnDjZt4amyi6+qKGKYGPGXWaX1JkI8cB55bl/7xiLjAmpd9QWTZ37J
K2r5KCxTuwFSsFzoS0gx2U5GdrTLQddWIG3I1rjS7gRp8MeQzIDDQEja1pqT7IKZXv8VEmf3nBnr
vHqJFrsEDpl4Z5yCFvSf/aVB+zAao7oqV7osANWvjBtH387Eebimu2VZ9MFrNUrBkPgUjR0m2/eC
Cm6ikV6hYQq8MMF3X3fnKYMadPFkVAe27qZPxOSE/GHnsxXS4CP7at5Ojt3chsStXdjETKD+GA3f
JeaGW5unB/HDQESzMLepQVO7IK9TghwgNr5cnrupmnkr1/KZYUJ2YopnbrKl626xtWok3ru3TeMl
Wxr5j1qvrCtzidGyzEt7pTnLsh09e7yjaKflYnjDbi7ETTkWHx0rrMxDkrnMDnykT/H8pbQThEwY
J3s0m2BbU3pabm2m+C1TJk5RkcmtbfY06+ecEcyFC4FpOqIbjeYCaHqj636oadHygCkYHCeRcJDb
I05E1WyQKbTpvVCpG3X5annC33LvzLgjPKMlUVMync1oMWaJ9GWjMwvtSJfej8NiO48T3Vx358yZ
KY8FImAd5oE2u7sWblwj/Kjo7F1EHGVE/LTkTzK8Gxg6NapH6UmU9UiSKolgFvUrIS3nHqgJjDUt
BuxPZh3T4vP1EhThdlR0sh9SNhly16xY0q/OFHOhYhAY2lk2M1VRdxlNk6LZG16bfaLTlN15Ay11
hdpgPZhDx1rv8gcnnDUVhJYZwkXrbdpk00Avh/E3O5FXJYzsVlCKGTaQQSd5oPajizRlczJvioXA
TZDRq6SmWf+1E9rhHbbW8QvDktAl37CsdyKz6KDlcE3QspTzJutzcazpOp0lE7lnXdGzZSpWDxsI
AIiyjUAmxgbPwboMt5ZtUwIbuva6oGx1OmAaWGSuQOh9fg1YatgY3NE8wjksS62v2dCNBcwPUX8T
CAkv+CBr38cU1Xk9e+Ri9HaUx1s1j9XR1XPvlMvEfsrh38a+RdYvUblOcbN6dDIIpLCqAyJS+G8S
9tiL6ar8wdK76ZpJk01nfCmqu6jA3Oy3bK4BM1R4KXlu/8r9+29v5N3eiOSd/rveSPZUtk/t9/Hc
aKn4mb/LQO8PShEkqgSO2a8tkH+VgZ74wzZsJIqmcF6x89RofzdHQMvzI2vUIPUZGLrvmiPWH7Qx
0Mi7a1lFU+MfdUewsfxYwiB/43/W2qDB78AnXQvF76qmBqUym5teHGXuukEvteFKld2wX8J4Osuj
RgLCqdIZ8MQ4f5VVC0Y3W0EjGEzG2wruid+3tfaUO7l+mSH7vgJqZ61JDEyE7NouN1ErnKs4H9rb
OR2S+6KV+T4jAfBYRLbxuapDF/IsqHhq5W0HO+OZFTA9TNqKAU/SEfRE29fLF73GdJFAbDF5gWbm
nWoTJg5lXhKVYeX73oJ0PnXlZYUuMvDysNhoaUGaxtCOxzIp6O0C4bM2phY5Z0VDjeOH+XSqahfs
Zu6unU/idRliTubNpPXelZNk+qUxJ/rlbM2ETQyV1exMh/6CUZnRo8Fk68pgomJMdn8Zmsb9ojOe
NAjc9stGeBrFSm29WPMc+zA1KGgMcrkCVajuGrSTYG2H4YyHYwLfyX55L3O9/jrSqdlZCiVPk4Dn
BsuefWhEajeYz0S6hzKaHhggY2MD1IF4ezaCjinBx8pNwhOagfGmq5LlizeP8yNGXesGbvJ8sOZU
XdkWAyc80kmgm2aya0LZn+uT3TzTQZ8QM0fODvnisHfI290YDL18gUrnMJQjyTGZ6L9qnuUnSs4B
wsNzs4SKH2rTtk9yOsB6RRiqDC+LrC6OGpLonOVrEzUVxcmgmn3TDPIF3UkFX7hLzjtbjHsb3tDR
LOLi2lichR6HxggJiEKowbBK+3PGvelDNCfeJ6exiy0dsfoMOv14Vw9jc++FIrlccGVc8p77f+yd
2XLb2JZtf+X+AE6g38ArCVBsRKqXLL8gZNlG32x0G8DX1wDvybpOZ93MOO/1UBVxIm2LIkFgr7nm
HHOCC9Na6VvU291tNujFE+nM5qYkHO5vFE4L3B+FwJRUWNYD1Mj0HCPK72YhyABwZBGPVdqA2yLm
s+7ArfGW8jP93m+5Vuq4d6NtttjF58Am8BK5LgygabBObs+Bp2zc9H3wRPpFNgnVlnHjYAwtwHVj
lLvo2midTOWA9yMgegdXpXvOFsvfTmVXHEptwJcTKUBlleNdTNmY7/C+3LOkWeWQGqCcM/oEyk2Z
A95RNg6ZolEnM1FAfsHS70kQhUMS9x/J4MESYctohGYTiQ9pqR+OnMoDdv+RwMO6s5eRDWiLEscZ
of3VsvPPWVkUSGixbb4Lr3pmFb28dl2DtQbu80NNUW61IYOtHR2tIwxCbQaUi9FwDPzbrvzAhZnd
k2HE2WFblv+ZRhT+VSN/KV7S4sVLdYrQLSro6AAsT7QmlwiRFiLiULiBZxcl0Zeu/0YYC+oNdJrn
vq4O6BjusVZQgSpEFk41ZbVJiyx/IEJWPDpRsXdn1VN4tlQHOy+hDcPl2QzcLN/72k8PAuPubk4t
GYiO02lUTdkjD3v7x4KLbGtBN90uyQykrHHyL0LXphdRNdpDY4K45QMV+oYaSjOQ7N+pCJpo/nXl
STIAZFvf3zl9Vt5EuC/PnudjkSwexigav1D0XcOatoyHTI+tfWXg2NlCzx4vlOS2n1Y/80psPVD6
hE3VUFM4FjQjIMFZ3pdezLLZNPrK8FBirsMKku/d0tU5zpZ+tQrOjti2IyxmpiIFMT6aw6FaYIgt
9YBpw/fHlxjcDBvc3G84r8SS21wHqhWY1kJccZJnqj/00DC0LxlrQG8Tx2hiaeFzknIlJ/S2YnNG
szTHXNBdeqeHqIt0XWd5/a1wk+UU1Yn/4JSee+g6nFSbJdb6h7TXcKQJ/Bio4B8uS981Yu7d6x2I
421TWvqFoj9960XlAqPeK9ywtGr/1eepcVnsJHljlEuh4YxfWZi7e56IOD6zbrzAuk65lFR222Vu
taXsy78tB7u979mUnzNdyVctSosLCnFDLRWd0IZfx8FiAlxwOmm9Ue1l7l2yyyF+onrHwt/8sYgY
ZLHjNx84odaHy7DYX5KySF9wGUCC51jv76zMj2+GJclDqlgUfPMouadwjJs4WxTCXXJ60gfe+ooF
dYBfHGrPZHonD6kgC6YCL44laP2xwOwB1rEdySdLJcIcWwOgq6k/5P7SvBRDdJMaTRbmgHbu89Gy
w2YcmU/nXl+y7aBVOIBj6q+A918MkP1H34jzr0qaeaCYyaEX8bhN+YqfusiEeWiwMN3ksvXfc9dN
gxKg3xfQYtGeO1NyiHozmAGF3C8EEj8bsuLHpve0XRmL7s7Ay3DAkhDtGGW7h2JW3kusvGhn6FJ/
SkawgiDFIw1ejObuLGTjSzvDroLZ/qkvA7d/WFsLSMDJjkmOKgP4MjOE2WknB9z9yAawTSe5GfDB
lxqGGXzG3NFS/WHVkHn2Z1n8PDgcRMCbyWLeVpbfP8hYFvuaupN0M8GbgpLVtarihO/Jn37b5Aes
9hB0J6XdpibtAl5V3o9jRaDaGd6d1kFHqDsaYDwm8295775DDP7Qo+GnKJZ3qGyPlbFwjF9o/6os
WR7aSsxhK9NnU8bNsUmEeB5xf77CTqg+0YCmtzbiL44YxLjUU4ICOT4Kfovh2MhOjsA43Eku7pmj
Fs7ytQtEd8KU4L0dujUow4k0bjCoafDuZS9n9wvYyp9DOlseyr3ig2OuMFFvUMu2Ua3fDDOnnpsy
aWpK1aVWvzfcQDl7+WNgTFEOyXqOyyOejjboVGYGHPLykxHP1ZHCPPHuzI78Sn9FnIF0TIoT3G+j
fV5dhdFNQVM7c8XUqQVbR9w72XdswPgnHBlNDnIN5TwIWGleH6RIraDS9Pmm9Wvsz273xhiKN3oC
/6WzAWImtt8mzVR7N20EdbP9cOFPrp1zguMk7Sxpa99Ca0S40bXa2eQxTxlNIAlyFnmplqQIE5xj
R54g2lOCWekWjcEAD2/MFzYaNDbwaR6XHskoSdWHnfvzsfVdDTOJNtyQEJ4hC67HLWsxhw0ZkPaU
poc8YtXuzsFYR/3eKywC6JKaiQ5hld4D+6EkQBVkUosPCx1EhyGKiDFgpzz2enzrGgWt4sJoqEZx
+2COhfw6WDRje5MDhlGO6S7rqQrRYp0VS1rURL4w3m9qaB54FJpu6/Ax7wcWbOhcZnnj6JH+E0IG
x+gmb9KJmibiKN9dr3K9t04fKtF9DraQufMSSZsTxzaVRQrf6Tqa/O8Q9w9DnIlAy9jz/5/izmlH
M0CXNk366yD377/3xyTn/cvQ0fMR7qGbGByV/98kZzDkITgbJnPaHyPcLyOb/i8DJX/d1MFvd6nd
+k+U+99iravmTJM0+Upu6mCNxDrQ/TKwDXrvJT3fjIOcquWsl+18Y2W4/AA4MlgE1IS0n9Mwys/G
aKPjL2/L/yDnu95fRfZrOpv9N19I1ve//fRUpNjQ8UkeSuChZ05/y04zO4xKS8nR0ukTfd9LFpkb
0+jRZQwJW5LDqlnd1nY9vyzRgA+6jjv2eEgVeKx9Y6aHMY/M6b5NMbyLWaMblkqyxWRY4Bl9ilIx
D2HVNWZoGf1yhpvBgd5nxtvMiT3l3Caq8YfIVqs/XtVl12K/7zYZToBHQvqcndg734BuwV4leL2N
BdlSUAZ8ZJHL++ZWU3XLy8REHKkKx7JfLTvcCXlQDTQoziRpjI2b2FrV0Ip0FbeMaBm0o3dVvWaN
T+n7GFuxu1M+0YhXfYziNCwHkPXMHInmvCe6PyOlsQ3ok1PdW3SVMhXKRt1LU6C+idhTMUxIbOK7
Op+N+FHFurvTi7xEuEsBoLJE7kh7BlpCOPBg2OufBIHpo/q1eVPdcIyjAFhbdUFwqGiE0VUvNJTH
0xisjGvEHAhLNyJRiK89/laup8xxPW/W16Nndz2GGrH0vuDQ7zVQS5xTaegUNwNKU8//WstK208n
k+NFeBlH3Hw97RbruXfhSReo9SzcFg9IFwxGbcn83DFee/6uuR6gx/Us3ZZqJ23Z3Mv1nM12lCN3
P6T1lqxo9DBiWnrJ17M55JR8wzoi2Vq44rd9mjs/tPU0T+nwtJH+JIPK1/xdQpju0K/n/4xN7kZR
6hikoq0OCMD90WZgMNfJIVlniBGBgDMEEgB1J/JGM5g1OoaOyZ+fRdUyhmi+331zauznZZ6IYFrn
lXydXHQ8IycqxrtwJQ5sk3XCqddZR2LUgp5b+5/udRRq16kIQ5/8iK+j0tTMOq1XHnb+PjO0Y3Ud
q+Z1wqJDar5RUi6vllk8Zxrjn4tlIcY0mn+mrA5f3XVes4kU7IDJUBVA19bGXee6lgEvijrvY1ln
Pr+pGf+4J/Qf7dKF2ZICEVinxJxxkbwZc+M6QRIEp1bGjSPG0XXCrNdZEwux8Y4E7V0MUTGKmqo/
EKouDrgP/C3xve65W2dXa51ic6u0TmqdbIt1xi3XabdZ595hbLIvVGpk73yiWEbW+XigZGiPeY0c
wTo9Y55lkI7WmTptreUeWX68LdeJG7A9w3e0zuFzhjVnA5eI2wqlVGdvbq0H7JButqEUR98XUxtp
+GDT9Fi5sXVHC0l3O66zP62zyACs0PVzQ3Dq3Ce5fB7yQT1R7tIcrTxmszGhJuCIzF7b0e1PvVP7
WggNOjsCPEKCMFY1wll1iWaZFGlecq965ns7AD7OT2dVMggszm9ME6gbvnaoVr2jR/igP6AKCBIg
XfsYeA3kEROZZHb0eQvXeNOsCgr7IVpVV1VFX/WVymlQWoxuvEFhxiuR6EBDVkWmuWozUqW7wp6J
R1a2eshqR16SVc1hv2g9RKvCM6xaD1aD8YE3JLqbKM59W1ZNiJViGfA96QOqGLO9umpHVxmpXBWl
ZtWW+Nj5tmhKEq/Im++W5vY3RLKQo6ZIp2rSnSgyXNUqcRWuxlXDysyRE3XnmD+ZtNYz16p2zavu
5SOAsXYZz0lU3je0oV3MVSXD5VWQ3PPlbrqKaPqqpzFn6We/z/2LVpfmwzyNAw+KbvZvMengO0SW
K64CnbFqdcMQ021jr9jASPXTIaW1+IjLG2HRIzvKm1GdB3wbmMm41ax6oObS0WpK2wCbQRHYFmRn
tO2kO38mVzlRXaXFYVUZu1VvzF0RTtRSgtzO/ZAdrvk1W/XJYlUqpZ2mz0abdY+x6MXFXEd5baBF
e8OCR750nD0vE/Vn53FVQUnO6DzRUEaLtEYk5dsjbqtVOZ2vIiqdys6+Asl+1OJyREkwxsvYt9bR
LMxq56VSvirH6e45Z0bBbFP1Z6VTwqAEdcYFc0zdSyV+srpjOeT2Hb15fvxdsYIK7XTxNySnSFZ5
rCKnjh4qA2azVq+LKF/rtINnMMyQRSnGj6b0jIKEibLIOC8albaJLV/hzPchdhwWE065OmPcLP9Z
2dQ1s1eXb15M40jI8bT8ZsWxd1PhKj4PRuSdRq8i/Tgt7SHxvb0/5CYrMZPnG3bOvrj0VF/cZTDe
z6wZUay8rj7CmO7PUU8tb2bnzkUVZEu0sRrePDTqjdn445p11SYPvrkaHpq4824X2m9+6NZQcM4f
wL5vfN7jU6F67TlJHPddpjW3nhxa4KbusLyvN+2GUWyJohAYW31HC4B1SfWo4rY0sgnyipk8b+TA
NAYfnaJkKwqKTF+TZHgSPDq18D5yfNw7PbU+aPurzxrc5CcvZqlLrMi6VQRLuA3O5j1d3zoFLBUK
g9MdZWGR5OhJ8cxVGviZNM8DGG/kLRr+2qSq7+vYtF6E14/sPLViBw7JAfyUVc3Gp9+a6nQzKHLq
rLTaag7zoncPwontzz5pC6rS+oZFkhr9J+zozZovxmCQEI/DQpjYKN2NfZ9HkiSCOU7+QxFX4oaW
+5otN50HGPP42EtbP0vdOPc2JWV+b3qgMTX5I6GkoWfJpfw9ZDqM8Rom/67omMujuaNjoWjuWfHJ
fZZQuDpZTrVdiF9vlVr85QYAkXjjLGA+44bC3U9WXPz0EDrfy9pzdlHefCE3LkIt8x8ss+3oSKh1
GDucU7o92VKWBlmfJUfVtBorbLNLtwIqI/1mFJ5/pk0LtJhMsjqaiNb0qanTnHsxl6bd7cosd+6Z
vvKdkfKwHlhRZztFMjULLLkg4E3chC9WPMigk+0rBIvybmSt22yjRbdveN4x4NpDHhQ9oTMtNcTe
pBPxDrgENeC6SN85oLndVsvYAso52g9NFm3jJPfNjTBIGbBCiY3tSk+/V9hK6VIE4u9shF5zfB3x
XuRarh7dtkVNwkVxcPW5uiMSovieWG7LxeGL7xx8k9C2c/MGEPNC5N7kMD1xUq02vamrpxHTxIue
18ULTmlvh2SzgB2OpLxr8t4/Leg/ZRg70UEXzVBuYj2zVos2T7CNN0aHdAAYjy3Ryo5Z71NilmLe
Gzhi+vW+lGbc/bDKTHSk3/N+BgC4saBqRyPRU9oI26NTJPIBCcQ623Y7X3zZGoGfp7Qcoowdk0ot
YczB/8vieqfMdp9jN1VYEdNLlToGv6V9LHNhfE2FbW5aSrJg37sEhkTpfqG91DzMGs6LUSVWIAcN
bLO1fFBI+S0V2oPXkHKHEesGxQKwpyMxtcV5rm50S2O8x+ROT4R5SgujRFSKX/hYrN1AjI3InT8E
FnWvG+of7kY7tc6dY78bnQ3pGMIp+e68CPIcsktTFrwxpfJpuJgB6VsWPEl6KkhxSWsFI+wSiuuO
FLfeJYQ5Xq22KnJ0gbrc6qROdzAmzO2iTcs2yvE0LDW9hvWadCWatQEIb73PmolMSiMGlWjejR85
4m5yQaKwKqMensvvQ+tEaAonei77zt03WjQfHbPTz6tUGYyxsqEetDzmaMg4oLl4O6yXpOO6CPy+
Da2sqfv4Ql6JJ3uezXckMYsg84owXfAuurJp+63biH+iafx1LKVtBtwRsUBiGcyHfx5LaUGZWWN5
6QFPMmOdNgkUlcXjLu3Qxfxk6xUTKWepike2ngd/P5f+1YflmrCeViObgzPb/+2HL2nVuvPSpAdj
qtvPJYMp3KRFcucRkH/8+x+17kN/IS0xfjPP4NjCAo+WLZzffhTlTJk7JSU/qjFlFfIdmQvCQnH9
4+9/jrFO0r//IJsFMIIDiEw4Nn9+Q/OaQF6bi3jFss27xKP6zF3T30WV9ve0OOT+7egnesqHXn40
glpX7ipxckf+bB2uo4RXd31J/6sf/YN+5CAm/PLh/SUgsf0o0p91+1v7/P/9W39kJAhCGBZnFyIQ
5nXZ/9/ikQFwm0tJ1/GIAr5BYPpvDcmmfglkggvifxWPrkbRPzISJuXz/IMCDeiaoPiP3KC/MyF1
QDswwpF7BIwZm3a/P19sLErqRhJpvlTK8sNRrUGf2spWD4pQI3d8Zz5mE/p6qOt5z6rNHl9ym6Dk
pvMr+fbLu/c/qEzGb+Sh9dVwJAQ6JPCjrR7ZP78aXDorhmAYWYlWxgWNaa1+o7U72XK7rkGoKHt4
F3i6KQovPYq5ZdaSdYiWTth4LkX13e970qt+kgyBWRTGC8gOz7ih1S/6YcwaAJC/f8VXUO0vX9br
K4aWvsLmHJh2v1PP7FQkfLZzf7EmrNmBS7TpZbRReXes91C9x3kyCNyzvqBEzp1Z6uW6dVOOLYpd
C1n0O/p7ZxA2bwjE9SmNOzQN4rcTrZMTQa2z5D4f/GNJz0sXCF33X7tEnvJCMWwSwnLPcHPH8ubv
f6u/fgyCKlfBB+FybVi/03lR4mKlNUV3uVa517FHQpKDCZcG1arTvZpa/6mJjOLL3//Y327mCOur
tImx1uRa5P+tL+sXgdPRp9huurii5mQxLkaeDJcK/CGowOT173/Sb8+s60/CYAOxHaAaCKjfrjOC
5/MiyUhcPOjlH1KB0riB1jebCCdJqMuBwKelzx5gEctR5T9dNL+hLvnxXCjAteDjuy53h99+vBBW
ymkCt+6q/H+U2UD9IHUAxY2zlF3otiRrZp2P/kYV8urCqMWPvvC7g6IV4nZyrVanFDur8y0h2fLF
ahsTG6U3zz8aDRKOri2l2JLbsds9T81l2Pz9u/e7+3l9/WK9bVAWgIWJR9WfPyjdHZzKcSLtTGtQ
+ZG260CKJaZneYnvpYqPjBz5t9jzm9tpkcnOre0p3bJrFT97LJf1doZdtwUQNf5AEUJDJfgo/kGx
thHX//Qc1QX+KS4iDFjcW/l2/mYLd1uMCG3SW2fCPU3kewF8MfqWegaUHbSWYdtOUn9A36CWI0kS
5GKjIkPUNpQekfrIC1k+NoVDFEQUKqZjiLQxJy5g42RnXoiHekEkqwj78xopSXvE+E2UddVFrZkT
uaZPYiylFAxdQylIKOXeIcDzaGbxPfs6a2JPL+QFVthzf422uGvKxUghoAWtPSzA1pSX3RZrIoao
k31M1pTMcg3MKD1BjeROlWK7WSM1ak3XGGvOZsmmz6aT/RPF1IRwVNkLvIW0vVISaz7LxFD5TSQ0
ojtsu6Nv/jXQk1ZS+zqsKZ+m6cxDXlfNwQDN+z0dG3BZJHXyp/QaEhrXvBBiJ8mXNUNkgIa/k6qc
Qlu1cmdcw0a0MhM8olXSk4gN5JFKSInB0Ph3uEoIKxlG3e951JiUAK5pJq8XxZep1JOT2frNk2P1
pJ58SAeEZ0pAtW7dhsh82bIbmfp22jTpH+aan+quUarlGquqrhGraU1bwbFS4XyNYLVrGgsPOpgl
UlfM2GtYi5gWwS3SroS4RERAXVyjXWgW0da6Br5aol+xvYbA1JoHS6/RsIwrqd9Z18jYZInpFog5
MfqHQUn6rKE3UVfTfgd6aZrLe6c4Cpe4Z1pu5fWnOZdZbxGj74eh0S993pc543cql5vRH/roULYp
bs7MJGatC9YP2Wyx1xj4DFh3SJ1E85KUIOOqKOJ5iI1eydDN0Ua3CAOkgRMWAQKldhYqCeap8Ptb
t+ut9XQY4ZRQ24Fn4c7Vkiy6w3dgufFWojJzwVk51TpVkbYMP5KHVwS/MnWxugLgdjYA2cB417DX
Ub/9QUVYY+isCruIU8GOnTdlTR4s92VbmczZJPgpCqbYiVbq+w7GQRnWcer9hI0hUj3QaxM0ue0h
O1NBGkfHykJec2j/mjq5zPuOlF6bhBTpUXQXdePCMNN2VbqbKSyf93rXUdLmmIwcW4FYViChSkQI
PlbzTWtKKFiW5VJgyv/pGqwDXet4ywlSZ2Xp01fU0ngd5jT2PS4DBuMdCTfTOCUq6Zg/Ba2N/U3U
jk31xMPYOmYx6/zd0PAK4D8VK2XJgFe79bK5UefSm7m0Nb4qbRAZxnBsLcehez1CagAJPfJxpqJb
kQJAgpYfBB98/E+8gDKw5hISiEH4ax+nIndpxculFaR1CmVsiIjCa6pt/PsMMrZNGxW4hk3ZZIt2
Inph78Ddx+gLbIGa0ADlXB9g/FH3mPt2whzInyPLwB6Eyye2Vgwb6O9NP6Xa17YC4aIx/OeeeTGA
0eEz8qDjWM9zoczh4jYsrFiwyP7sDBWPpLijjn4NlYIu30VpYlTvC6zA5Ai/isLjTjlLemLy759t
wtwfUNTImHsGF+9ugK9lhfQOESstByMrg8KSebf1VBSmRirfC6U4WWRxNj51jqu+NSzw9qNQwM68
nNUugfGIf8cp6mzasaYxLsvUWPZD1zvGs9Fr/AmFJkEDljELvFVQgNJ9O5kmzk/BqvEOOqCP3iPX
izPLSLWLAr7XPTyJ3tvqcs3JJqrihdUdN90TTzD/FbMbV3fJXbINPMOHR8DKPzLvs3bI80fTg5d1
mOxMDed+6tfDJ1uRe8Dg9CLXmI/Uoa4XGkwns+wX8vNi/eXXl664P/G6GiAzbBz5LeB68VYlNMEt
Wz9HgNo2BcYSilbEiuYYOBXE/DfuqWZfJXfSsOcW3FEDo/uQYMUfzjDzmm6DFUVOu0kXqPfUsbOS
5X/jZOc34gYy+cZ6Tu6r8hWYmH/0xjT1Nh61kVwXc+x+qGptTGVjOT9a/aR3p5hjbkY8usqzJ4+n
xU1X6cZF+rF8B/uLJTWxk9Q81l7sD6cIF/4YzDBQkTnEbN0wHAOV0YWcP/MCXW4a1i5nqc9j/qaI
EXf7MtLKn/Pir/cQ7A70artkrLHMzBSDEdfy3zSoxWAom5hwj81tbm5VAtOp705+mWdO4Jiw6bnt
OYC2x8T0X9tMG+MQKZ2vyaJFln+wq9qQP0puyIg2BpdUqNY7NkgKjXd0wmwT8pBR8mRAQnNZ1RQs
pYrEGnWO3jL72vqj/6zNHNOPi99TGdZ3UBg3pWGI8ZBSwzmFE1LxQjVX7MYrDy3BNEbZwW6pYZac
p1kUT9lIPMkT3d4uwVvuF0U6hN2p0S1Yj/O6PlcsW261ngadkKm9HE/xrJpkCzG0TJ45idAP7uNQ
xYaVdlTNJZ0iMa5GjxVoNMsnXNpG+sWo2fSOm4UT2PzS9Jbm84/h0cRlqOXxUYsa9Y2EsDZuC9G5
+EtB2j7g+qF8sh1kl6IPrcFv1N/MuqfOdXEupQvGdCObUXfPNmV9dIZxuulC6BN8asqrkGvbBVQS
S6GuCI3JmlqaekkpsEqSXP25PcUimKOZZTHKrCvflDMbz9kVTcKTzn/lWi+7+8onGLsbkP2znQcT
RQEOfYdypTyDgNEoXhyzIsGunLi3z+x0vfFRRt1KqaJOrwwb2DmU0+sTSe7U6nMCWW2TWPfmpBfu
IWI5y+81TVp8zlutUUEJV5QET1UO/bnAKs4Y6edAlBMvTwIaq/TDLG2+9zMJTXwVVN6er0fn/1VS
/kFJsVy0rF+mjL9IKW8/uv7/vKZtTLHzx69enH//zX/LKUL8S5jEYH1cv2sttcU/+ke41vwX+HOS
t0x0lEpcK7D/bcmxdfrQdEMXHnlUSnxW68wfcor4F4QIl+yt6+scVV3/P7HouN5vMyxF8i7TkQ00
ymDosH6HT8dAjooqi5NDV4rhBPfNseikaboTT3wbjG+P8Q6B2HjsDA0IJSwsWmXToNANtQfco2Vh
FA1i1wJ6fPI9/oxvFf5r6vXFDYvXeGOlg1+f6smRuwGzLTBWAvOHLloEqOtsiJYtaCxFPMxzCoeh
3XGD0Z/zwCFCsMcJfqw8MhhI8CvdFD7uC/2H1P+OTksdjpuBFVavkAki4O2gjV+WflxvcaBs03Ht
YbCz4SFWtXHEso03dqI8Ea62Voxo35F8dOAh3fJXQC60uhhvmlp7SKMmI1E4ZWrfWrI+L2rGXd5Z
+tvStuOJLcX8HDWztZvbLrk3fW4WYLTW37wAfBSaJbbW1MiKHf6qseJ5PZdPceI4O4hwDS2K/Geh
S+PkG+kLtarOJma3dvbsmVhlwR5U6nUQU2UMPyC1+6e8ycQ9B2JW6WggWFvc1jYgaQ/8xoWnLYE/
UHgG3MoOwTrj/4HsHvCa8wDPus3Q6oNO0oTYRJP1xomg2WMSvhU2pFpjSO5ibxn7wJx1uwgEz6at
7WDHABq22Le91sK66yrqvzx36eEF93tfVf2L3c0ZvIJ0MUJtNKki4+xPz2VXOXweznC7eOa+z/R3
eomdYOB3CfOof42qWQe91b7M+cyuA2fJ11Zl89FIGoH130sCJ5/XrYwTsBaJH0EvWmBHRF2cvayU
Fw5xLNV4DCdi05S1excPnQsRWIswG4nxHRcxS3pZZ6ETu9MtMvuP3rRibJfz4rIuT+P7RWXdcfKL
TZu51hahY6Kqm6rQgjhMMFRa9GBY/ZcYq83W6UV+SNjoxSfVk6B9mMBIyY+WjepXbN00t2aj8eDC
MSMxIK0nWMjsCJ1quHU6dvjbfix5yxQksvNg6l/VxEoP44wWmkr/YVflV6EU3cSlU8nDmEFoKFJL
vyNYbHQBVjmYEnEyPC/a2rw5RkXoyoh+p6UchnKv24OT7YBJQf4u2Np/TeKlZkqdYUqEnSY70q5Z
C1mNTzl0RF+GadWNaAcYXXieJ/ptI7EhbCcDlPbYmPfKMd6Xzn/XW2gfaF1hK/Sy2ftYZf2tLRLZ
QrfgitFj031zIu85jpofujkQhsxE0YQtRYN7hwZk7y5BjNhUPr0N8DTNfcw955F/Id6QoUguLMNO
6I/qMBkVVeq1a9OiNcSdMs+d3y3xjRdNbbwd2ua9RGMcHtt+FrykjsFniO5HGmuJaucNHQLWGHSj
O+0A+d3Qc54c8nwZ5YO5mF65p+StZOzBEXfKLSwTaI9NVWwmvXZYqVlRKKw6OSRlZISywbLrCk0L
jAaXq90isGz65VQx1e7jvktuWL9zbHZNQrwRzc6+PqsdjBiq3KYi/zI59L6WmVQn+mmgdfclBN/Z
GDhqUGKWw8F8SOoyD+Gd4olSZDK9Mbfh+JTymOXWEpCNANdhs0EejTI+q9Gh+XzIluVZFrpzcFhn
nklda6+KatehOLGVioOy6EiGpTFI50mzAPM1JxxpX6hsd4O6RRGZ6AUOHf7UCcRpfTYYZUBnYVSg
sKmWph4468r7kLujx52qlQ+W31rPnuMlW9fFzIUNmxPi3CzzTaThvSKqlufvS+YPmNmFOjlQDDbc
IL4WOfSQZBySaQMuot3Rn0a8cxkvxRLPPzFyj/xXIXYJroBiI9JmuJmi7tMG5hnAEWOBm7iVEdSm
PhwiIGPbuo7a27QYvvJgwanYw+SsFslStIjqdSxslHK3ZZn2n2bF0yYEltPd2iu5ZIyNpxjxe29p
pX5KWSxv28rLbgoBwyFZ2n0Hkmxj8IANK0EI26i0cU9JrH7QZ2FwqM6Tg6vsKXTZZhCbUvSz1S25
5EY3bwd8s6epEmk4mcVj5AK8Fl2MXYGGKg/CT7qa5Cn4ht5tM/ty71WENQLfMiUgFRqTGRxzGWDG
uG8NXIT1ZM5bh6/oOWniFLfH5KHhNcQXltxnZEiNI9hw1ItBnqaylKG+ANNz6naiO6NRYQaP+BZJ
gED2YCeHdvG/MauTpHLa7ww/Qzjk6ltZ2kOoG7NBkRqPG6NNDl7bxftBFVZQRt5lxEHIqECDdmlC
mgIT/6DstNy1WkfDc/Y46J32oJLsnsA7DTQE2/k2FpdYAEie3JyV+JRSdbVxx87dOWQfAozvMbvU
cehXW8H8YufzNTKt7Ec5pLF7XLJ+Hs5zp8d1aPLkbDdmOrG+7nVrjgFUqnrWQxdNncqQyG+WpzLV
fe2L6sxpZjMh0A1Tp8MuNeYVzCZ8hUVhh6I3jHkvjfgpz2ucFMu4cJTp8sK+jNBmuaxAbBAUysj2
6UZb/gACPjkbMi/yDhuIlgQwMZc3qxmmt7LWp6PABXkaZEXb0KwpEJGlmNytMefjUUfH4tZfYL+d
xqTfz6W+hEbJHdNjrv6YMy8LOM9lx1H3B2vjmKJ89BhajqVedgg+TkhDuIKu5MXfmX8pOOiVc9/N
nsQGIo2dRb08XAdmJqIyFm8QBfbTLtHj+NWeI/BQGRWSZEtoZEbnsPdpu9hjoC8Iw4pwtdrwdFsU
+/zGOrWYK5KwZzgzOrqRB59C+2zUd063ulVQhPCbdILOL7IWyXHucARCPO/G4YCxdTgVSf5f7J1Z
c9zItp3/yg2/owNAJqYI2w8FoEYWZ0qkXhAkJWGeZ/x6f6AkH4ndrfaJuH6w4770CR2JRBWqkLlz
77W+pRyUujYp/OjpphumckQsGqjwEDUsdQwIiqySkkS9xotEb8IVqNWn1kgizQOjmtzYUVPfJg7H
MZqZqARLmnQ7pDHQKogd3SORQA5ZpxMnWZVzOUm7zdx9hCvkkAHmQFlCkGUAGp/mx0XEcmu2xk50
yLOh9nf9vLGZBPLzyMDaUgy0p5QRhVbchr6A4HgpZzNB5K1YpCPkGJ8PMpbqR+LiE9Ii4QS6YS/s
dEtObTHwdelUl/lA98jivfiCm3RCfPoiV2PPbBlqvuETDWoMbCr6OqdJgQx0PfqhpkfA13WwvF1p
RvkVSidbc01mQn5nROfKGKutQ2v7YuwteF6RXa3+Idu4aTP6NH5rFNlOFvDAHD60I2LRevAyxj6f
J8yKnxxq7gd9Nq1TICMscPE8WBetSmnmBaEWOudcNdCDzdZjl4MdnwP6PGZoyG2mLKh0J6i/DQSJ
xqWDbD6JSg6j29pVs4+FxTqQ6c4Z3Mv8RafF6XZ1rD2znsbHeFQ0nxOm+TgMKcKqFFRWsFUgADCc
UNG9h13ebOeiE7e9Vgqfnhh+nNlK/VTGcG2nvPfhJAynxRrGS4zL421rYT1JinFyEzhwSOur6Hmu
R+azelnSKKRrYm4qrWr8GkeWm5d4UAT6Ll8xI3MLO9L6rBf6dFG18XLJ0b26q0bNAjtllcnXstPa
e6dQs8dQQ30EhCJxjtjjgmOM6/uoVtBrLb6vJ7UOzRuBVwedGSpCfVG5AO3mjWbJyp8LS6P2J32C
oVHvlhYSXZbmvNiOZmXskkxBia1Si1dONt4zBxNbBYNYV9XJVRwimkqSfLhMcEScWCQGjweQh8Ua
dAoWVj6RNrEbKXXlp3li+rPUsHSmw1yDm2h51huZnGgUBD6Av5oCqsteSXQ1lr2VRSOB78QaM1we
P5v5FNn04JzpPOg6ARxjI8tvo7//Ov//w/lfh83EFPTvnThXiBB/PvZ//4EfFhz1D4PjtLqObAEP
Y7j517F/BU1y2DbAjq8iihW39ePYr/3hWIa+NgsYZJNnzgTwx7Hf/gNWlMpJXdBd5MT+bzlz3g9E
pcWIkVRNplqccXSkUL8ORINRARDDSPQwTDwUnp6An4+yKjgaElqpmI32oyOYXlUr408bp+BoZ131
5DDTejAKu3qSZtJ+VAXU/XCCNvnTnfwLWcW7Qej66nQstPCP1nx3801w9NNcHb57E2jYWA/E7pTP
8Fqn63pF5QPPRkhRM7XaOZW6RiqWeHZ+f20mrr+OYemICJI+5ZowiKLlrWPz81SfYVhWmX1cH5j2
PIJbEW4/Aug9p05Tmh4LgHVB74hFWKzr8SSdGAxsE3+almL5bL0t3BTN4hhmYesDOcl23dsS39Sl
eYP6goUfJT+Io3U30GjEbqVayc1CissmgRisuRIa8VXEmbxyLW3QXJVIBkoo1Ahe3y85W17P8rER
nTlBdzT1p9AuUpTECUSj1i5P1rp3NWXW30ZFW9ArWLc2pVu3ubB2QEg56+7HXrom/jYKswvrvkcU
nblkRrBzWGZVXFK7hb4SrZtps+6rM0RjN2VIvEnett0FuQ1BEetsr4L/5ObrBl287dXKum1D6Q3A
HrOVMz5hV49VfOZUXutuzwdg7m2RztsxyswdkJ7YVaROhUCbrL51eiW5Uds4XiNiKCbg63KoKSyV
AUdE0OrYCxKNBjHZ8wbxq3nLHhliXH+rUrBrd/daXxLB3lljf1g9PqFX6EV3Cwyf040mxjbYxKam
bnMtXeE7QZdSfhpmpSm+DBdxKqZGHfGexzqsQmaIGypDCqwqUeTeYK1FQ47WdzMaxqOVzDZYc7O4
Tgtc+G1Y68xMDTJvCHaiiAvVSduqSdLQIqPGmwlM2XFCpe6LdGjparyFUTp4PKnOAXdpfrvoHG3B
PlI9LmsdadOIeCYir9ova5XpZBX1ZtyUJLjoXQiyNKEucBmDTpSoa7WKeluDeGUzrIVV/0Ekeg9S
P1q1u5YRfZGjOlxpb7VvXFj5F9AuaQlcu6aIMuIixxUQclIEhmcIjsWNmXg8e3dRqCTisk/j3mDo
G+TgLSiiY3hptVWUOIFFUJMuSiYRHKyqSz8X5CYxuOmaZKer7FZ0x0lyHtIox5pBONygntvaaeLn
IeYgs3eKQepXbYsTcOkXIOOqSIZHk8OFczEbevm8KAKVeuD0U8NTUSvdaxH0xH8yIK05siL0iv2u
J+HLLwN7Pg+zVsxuq3Is8PsB5PbdTAzrvP82cFJoqYMcLxrShIFKhdUnAOKIQVOlWNX6xPGRkzim
0OVqhIpR3BUXTTTGlVeronxuS0scNFTBTD3pKBzmtE1vKULWxRCX1yZF5nmVLD0ujL4k14aMLq7W
rO+NAaxxh0FbG/3aaEnciDj4g9Y3CRtqYnKifeYQhHOX07KPy7F6QixbPo0DbUYswwPxHdHIg4y4
oJ+UTa9O/YvKoE89JxBPsG8FIyO0Sq/K56bNHMOrlGzZvi3lDu88olPX636X2KyjKSlUl1OsLx+y
Fqw2JchISjhhy4EeZOTKkcI6Pxt936jVOoRT+R/QnpSnhCVpIRCHUlvG4bGgCRK3OKGM4rmfO0YU
M9auU9ks5mXdarxi+n+lwjG2g8QnFeQqta1nV2vi57TBcU5cXgs/7IazoU5YPf3NDYCO7KoxELS4
WNRLwyPpdgCla3X6Rh26KL/IFdTyLIkLmAk9r+SBkFp7uJR1M4E3E5RtHlIs6xNOjZEeVdykjktP
c+0z2OYMCSCa7WYT1db4VGpKeRmZIK882+RwGCByROGOgDUd2/Kl1boHOHLmYXCcxNhpnTPe9DBn
CZ5NZTAQ7GPjfNRswIKUsE5AAzUBSUCT5sx0jqOCoszFRZSNzb2e9hOAOSJaXukM4xQbhBZtyzH1
E53OhptpxnQhAZIzpRwiGg4L6db4zrLDhPLB8O2p0U5CyfC9IdiwQM2SbZGyzzBEFM7sSQcUOU7W
3NJdky6kDcpAB/c2dxYJRByTZla/wUwaj3WcjNP1gIBDn0bzemh420f/q3D8p8IRWSzTmr8vHM9x
QWBauWZcfnnDux4+/4//pn/7qR/Vo/PHWoVYYK7Wicxbifh9aORYf+hwZlQEsNhnv3m7f1SPzh/I
bIljl1RNjk59+b+rRyn+kI4jDEcTKkAufvO/MzQiT4J39LPkW3UQ+6o64ymdF6jq2rvsXIGVJO/I
T6BJStgRUGHqKcWjpwtgtNMmTjZSdLTCxEBYDf1JTfgmk94vE3QjhtKsj5uqn1umzoF04O9Ta35E
iSrlB410DdAhrYYcTw8fckoll6aR8XGQssMGFHY08R0YIHGZwM4oI8U6h3hjpEsv2Kl2ShKl+3Xn
PVkJa2g+GTdZ04kXZZTBfFLbGqMW/LPuYkgcWTyIlCbjRbusnqgewCdGFAln6nOywCfG1TO5b5EN
Dt6lZW5HjwUSMCwtchckTv9ExMBI37Mn8oXgzJjopZojcrWmJxh3YZDlVIl6UdL8zQLKxIgzHqHq
xeI29GDMA0UoYVXkg9yZsif4j4PmTp+Sz1ntzD4O9pgNDBk/oSK6vkv0+H5ORXoNvyZI9vwTcZ4t
tmIPhWC87wrRNZsG87/facozFqJpY6s4RA5NaynuQqvUr1EFT+5AxpO3RFZt+ItU2luOysZ5eHOD
EoulHXrcNuWpW5zgw5Lb1l21Wjzow9M7IRROKF7SVkZ2yto3/GATJI/DiARKEbrlYlG0uAewnOoe
9qvplNmpqyzuZZ+PcKxNBtp0s+bx1PVdaMN0Qr9qxeZyi9VbxuqOSOJmn2pmSuUwk/vTjfs5GZfC
s9gD2L+CmsH7HAR7iSXzsVoYU1L0Kss9GI9sBV+OZE1JRbUzhrd2XzyEkAksFQ7RGuhBswZZarvT
admo7SEKDQqePIFsqD3jT2rW3ItsRdRnDhJA6UK6kpekyo/4LklbxAGkHeJhubXhbfhOJJmmpCWU
ffIjVg8l+1VkErPU9ET9bTJKFqiUhj76xHkPyDdxKRWKdZ9Ohoff8wB98mzMdM+XkTouLtm+lhqy
XbqTE3lumAC3hZm2D4oSwWnUmINwmW24TN0mH+YnTR2XrWXFwTYY5js1S9oDGuHIX8w6uajBTx4q
qN9b5JpQeZSCSJZWwxWOoG6To289EsdR0m8s45OSzctBJX6ADyjTH5xZ/wSGVLp0U1EdRlBJZZfA
fi2srjui9k8ObTy+NHQ+jqAQwlNtWr23UJ/6DUbxktyWVlb9VtIMS1Ol9uJcKdywVnDiEmdHyy2K
vhhL/WihNd84QVnhFVfxTGEjQeYk7ZGh5hyu572CIehMxZAsd+QP4WUsY4pIqPwu6FHtmlefnBID
NCfjzQ4FKBLEL1VWzRwUcGZbPGx7VCFeCrp9U4RLty/r+lCMxl0tgKXb8cWiBTuHAgrL8HIfYy0u
weseIcfctkC6ioVEX4hlfphw90POOmjPHtq63tnzdE50hR6g0dPJrLLOH5D1cyCSH9Y4rg3RCq2n
5dmXTBKvphcjBtIs6u9ipTjT49VcpzOJKuoMFsHYPksGhZskn6aNSoI4DCpd3pD3Vfj51BSu5cDq
dBFPaQWfh7nT2xx7HyeTvd1kr+iYOBbrqnM0WS7B6gj0UYFILiOnS/Y9NGCPp0K7wRp2MyStr9i8
KZI0LidbJs/ZupqlfWDhIktgIVUAt29jvYZuVnUc7jjcbqupWul20SPyxGHtxX6NulzbQ2Xq3VUT
tUERxTADBeYROjMaOpb1m05w5gDU6xzSxGJg0tyMgCG2LBNkehI4YbmkmHUfWVfwPgBuGlDtdskl
55UB/Vfa7VQ+qK1a1v0lpUp0K6bJOTeTeguDufNkkj+1ISY2JlJX84QgtIaiNCXMkpeivW0ZIHCH
ok3Qq8k2Eang5ZXyOZLxZSoidgcSahgdkGCcdPdM7mku5ktwN6bjuSItj9lolzzgKX0wQtBOmTI8
t4vzaIb6Qe8x/lZaX23zLJuIGxpRFZL3ZCY7R0/oqSe1vMQMWe/wdL4WAI58g5J4r3b6Pcy7dD0F
lcAEomw4GfUIqk6jf+pUF2j9PmCnJS41W3y1lBSubeWbirOeTlpXEGqYrmtppdjXditooifT7cRH
x8QR4JfLMmp/SmkIP2YcsD2U6jxqCt5B3RrO1jz4Q50eLVvvtgayuxNHO3tTD1Vcc6wqIzedM3tH
Qs9yiFA7dxXjizhI6V5g3YIhgDh0ULZsZpm7BADZ7BGvOzOGXr6ShtmxYJeKfYkBWN4Qq6Ggrmvq
c0YKlzuPQ+lXiUEG+2QyFtP7iymu2RPG7EGTTPeCklyhhY01cRxfb7q7YW4v69jKX4ep2Dv2/IjB
J/OJaHDNCf0hNbYVn4Z5PYXl2lZGga27oWEsONxlNmxwmVYElEbayYgNUiwUUt7aPhRPQdlXtyhv
0oLRJTnhtD5YmYZcFNehMkDlKJuI0T1ixComBQ1DTIL2W8O43Ff9hR6ino91MGbOigYLhPJAf2Td
npnMlqYDlheDuGrpHxTs/VdqWA1E0c2ZJIFthhR5WySKfYAzvBynQTxIem8vTFCVcE+mbI822RoF
cNBMG5uNBEIz7NlndR9IwWuuDNdaZMVuRyjZLdOC67FQFLdOlZt8jvqrdIo/to1AUzOZeNYX8yMD
jOx+Aj2qK1rna7w9Ty8yUFt0A/cjg//nhNGbPxpBc2BQAqm6HKIdoSto5OyKKClONy4qvicHxYNP
LqdyDocx/VA5jMsxvdtfzd4IPdoBOuEbInsubWu+swAuoheyn0RqYBy1c+uDZS2xpwSm6upWlNwX
YaFuplFtdw6q7I0QU+lNcn2I+MCSjZgEyDCcEDzXvLywadG2Jp+rJn2ZsQfcOjQKPop28JnDRJeZ
So7XDKOQNkilMVmH4QU3sWrkplKb7NRi3tiTUUl7rS3Cs6Zn+y4N4FIbCJF7lEm3dg5HjeU26m+U
GsQZpqf6o7I4+xKAwv0A32+7KpMhtS5pfFF03ec6tV9ZnXHCI87y+iboH2I6LiY0uF3lNLNnwDjy
AYCyQRAq6KFBGdzI0FUAyWWiXxZCMATTjfoiQVgJbr6dL3KJix2ZEhmdUf2K0lBze47V2nWFpOeO
BbKdfNGLzAamQMuMSVHYbiXhNWxerVI81UQbnEJzNrYZteAHdWwEIFw7s2FAyFnc5ZHQXorMMF9k
XEQE5HUhEIaIw6kG4nnpuec6HrTNQgoSBfBwtHok2XGvrmFoVwEHFcBkI6BWYlidzMupPNwIb3FI
3w+lxRidmn60tlBfwjuHRk2DWz8j0LcYPjTOQmNr/FzCI93VlbV4eVeBYwWQewiKUt8sk4GOX6o7
PrWjkRDJ7eDh8LKyTDaIZj4NnezI4CLAtaiCNZigpJcS1Ox/abmPJBwCRqKYXABF7EWny03UJMOx
UEc/AJ6eEArwENOt29HVtU9xlJenhA4CdkHnbl6ibTbUzW1DG2anai9g4CiYkoAouDx4IGA3x2Gg
e4EihWdGJH22RoP8PMExbM6Fz0xxT08BYm8DjgTPneaWwJfcmGahTYITywmYIzxdTBZXW/uSRp8g
K12YFPhb1eYW5071MJVF6VuqQwsyJmQcZp+XaHbucVSBlNkpqCZCiyA+DvdoteUtY0S5gynzmhX9
Q1kRzKuYy03H0Jpy2Zi304j/oak6r5IwfUVlNGeFOPFts4B8og9BTyHL84eJfAWX9gBb3azITaI1
ykaUGbIdQyGgOynLizRfHoBjTFsoFY4bk+6H61/zNBK1ASnxLZ8yE+cX4FdzsoMHmMMXddRLesdA
yBmdf6X4RT4Ytb6W4KKKFCZ+kxyupqglNh3o5wOzLsSEsg+3tSwcH69+QdFt4+JQkuychiwu80ju
vKNClTHt4EVtmxAj/2TuInAiN/UMWh8JnuainKLq0bDsqFVyCW2vv6TvyACxHl1kCahMpDpf6gwE
FXBlAFtL4VrDgHPRscYLG1dXyXkj05Qn3V6ew8oEMNz2cH/YhsGLYiJZDoFNVtOiKLss+qrYdb+B
u65eaG1S7eu0ua7jtXWMocGJapCC9My2VcXxFomcYGQ97HQ0CBuRJCdbE2ygCSPJ1H4wrEigk1ye
J6t/DfrwpSxTvj+luEH1axG5XA4oyThOhZ/Ijia+QmaHLl6IiRTWxeLYjzZ4nsZxyh0Bf7TDQhv4
b0DfR0EHfyFldZOMVGdKm6hu1y8trT87VC/ToKTHvSjXvVkPNnmN08KWkKA50NkJaiCIVbSdbbs9
NHyDP81N9EWkpFiJgI5aJHRGlaNEhb6JjJwWPW4zn459fsmWBf9gKkVGgVc2lqdHTXEz0q3eDxBe
XfxTKVwB4uppVDZq5JYpoyV9JNpwQvvEIaeqH8aertcwEEZMVZ0eHCsqdtIpJHP6BUGe2pvbpujv
aTWGyJmcKyInkusiVrSvRtz2pyWKzWMl7GavZ3N67EuM6egam3scu6VnN/ozZ/jknBYoxYNQvVqW
cHCHtgwvBBYQt4efd9bwQfv1Mk07UU62lwyclgZLKtsOg6bXoCgPBIkGA9YIL5wUDlU1HLm47UKP
3oZCsKR6FcrehmGQCF+PsuDKJPyEKe78Yue9s8l169kKM+4YRe256LNij6nhYDTDsmlGcKo5pNiy
xeiXp84nho2xV9uM66GFM86p4JlI6kqPgGwKbge/FM8OwkfKPU79W6lDHuom3S2nKdmSKZIdqBsP
YIoTN8vyYctyZfis5mhMECH6MFxIBq2uOEzZt9BX5Y6jMB0XMREqnzI1WsHA6Zmtml2IiU7FPN85
MV+yYUYl0tMDy9j0KahSkm3oDev1yULjgwwhi/dtKjW3aYgsSbtWPYES6eCZia/1ghDIIVh0PVuQ
5X6psbr70xLmq33ltEDe26zRJz4SH+wKyBHWjnHnpbWtnEaZXMd6jge2zM+haX1AhIJjJtUwiqwp
F+2ECUdTd+FIvyNDheFWRjRvmWHwq+xe38Rx92Upqxuz7M5zNSeojHEzhcKny8A5SxfELShgnccO
z0eQ0a4RLfEsE6syoMx9VGYNeaSY9MQ0H0eeVLeHfoakqGONNLTGowB8GawEKohxsGV9PXUlXCiE
lB5HSJQ53YcKU9pW9pPPUYtvMrYgtxtawpe1GPKw1pNOM420URY2XdmJAyoe0GMgkpLeXwYzdeta
K5gwREvxsZYKbZNxHEHwZdo9a+etPocz72joGESOnLzs0Q0bjoNYkaANVXCEUJtqQTweo9Uzbcji
pcC3fpOECh+kbezqsY4wiYvlgZHptYW1xJsqTUdbrG671rCYcjWJ6VIoK56ZWTPSRyu5z4Poi63V
l+2in1LbfIZHua2y504jVLmzvzakenPMjWfQfUCE29zx6oRsnqRCtlUPXyuYtVCe009RTYhHLTGh
wKxyUxQiNFVseiXIEJnpEWW4iTR4daxan5IyuW7wRTAW7htzcjFKEzDXD/pRoaavNnBgcV8NHMqH
ekYI07OTV/C+kXNWxFi3U4F+iaS8sTZPeJ5OjWq4JvNYCrE067d0ccIjWxZc2EWzanboue4vlHJp
drLVM4ehKZm/cVYH1zarGjCVVmuMnNK4JhV4Be529wrR4tB/7BZqTwNhp3Hp/9NqMzkjzCwfeg+v
VTpajZGMe2QEFT2HnjxSRgG2fGnTyUq7i4CkEjoW3+be/9n9+t2X8vI5/9L+9/UXv1JcsM5F3f/8
9Y/ttz+HX8rVNvHLHxi6xt18039p5tsvbZ/xo/yi7//y//QvvzfO/6ETb5kr2uXvG/GYjcvm+fMv
Ko5vP/O9Da+pUC0k3XaEGLje9dX2/r0N/5Ykapj0Z8nT+t5r/9GG10Bh6PTazX/ZOn6IOMw/0F1g
+TBp/wqoZv+Wd0O+d+XbFoFCyOA4sQsmBXKVUfwkk1BBLhNujsWS5L86cTincFLuH5uBxnZzTNQc
BOqGHHs7SnZW2xGrdCFQz49+mIMIt7qNgTKgCo8YaO1UnAsFSYw5IxTAfJXQDCJPhljdNOmmAAl0
bMTxhUGrnS7Lwv8b9PsA55QjH1SDnAP24bDP+ykiLDs3kLBuRttSNpGtsNgOAITzowDigJ1MjORs
b4ixGdQnvaCj7JZmR9/wLqkXjUGBLenhohqc+si5YommZ+vgpNrkts6ihMlTFPjQKWZnkrQIGOLg
XzIe+7/zPJzj16Zsy6/dr0/A27f6X4/H/0NPzToi+t1Tg3O8a+LX7j/Kr//BE9TnL7/an779/A/3
E194lVOwTYG4Pj8rdfj7E4QxCushiBMVf/OvMihh85gwr7KZLdmAY0we4x9PkP0HPFuh85emAaGK
v/qxgHzXFbH2fFtQ/kJn9GdykaoaPOE4sxiLwAl+N8ZCIpAyk5nUfTqtiadfSXm7YiR1SFbbOv0f
hMdHApN8J+gftVTZJKL9Bx6U817rRNnGpVleyEuUOqqsXx/ikgzFyqYc35cN+NVAPs40Atsh9Yuc
CCydfbKre8+pkFTLLDhXVcjDrMvCH/UnOYDwijxiIcKzup7XS5viNN1UFvbXNYtUGsMGeL+H2TTa
qNUrYwX+EfFS9ADYXpNWZy4SEXQvSX6bH9ql3MW4MlrFnw2HCQvKCpBj5kWtDsW8WVRUKfTNWiE8
NQWnIIoPs51iSdTEfoL1n6NFR1d3CukFIDJebmTXrusIimO6R4ZBu1EQrue36QVI9JssKnqfUw3i
XKe7MZ0nTSg+ivpnEiMUmj7aChhETUv9WzsblclGX2bewJaMYvZ2UogcrsfGBwZAi6z6BLpd3WEb
uA5b65RoxctCamGXUCKZY7Yzl7Vs7cBRUrS/5hP9hjRBPzSr42shQy804bPiDkNpjOyqMlsutmzj
VFyFeRK6b4/Mf/Zm+//d4qI5uo3c7u/35Iuyj9v4+X2G99tP/RiOswRoJisAOzNrwy90c8l+zWDa
QLf3tl8ztv6+KwvCqJiZsBjZqKgYc8Lq+b6m6PxCNk/VYT3hafw340rFO+wa3WCwVFDPDYSfEjXn
O2kl+ZojuFutORhFwDkRYod2q0Y1gET4CtuyTmw23spSX1rFCu7xvzSHGaU/VWocHNuG872FB+wC
yVuxSyUZC/qg0Se16VTf2xXlqxVVRgwLu3NcLUqmK0ws/Zek0bWLKQqzD1KvOx9sKj177E3nUsVh
hfzNGrymFo2rhWoDMDhXFkZhuXnXA0i6/Okj+4tlleX5Z3EAd0AyQZcGt4F7Kt6D5xDEAYoaquqA
XGW6Jrra2YX4Dly969b3xev+/fXeWVjfrgf0RUiEEjZV1bsllP42ICaMjYdRaUhtDLOXEGESEVzc
g99f6R1nar2SJXS2rTXWjCJvfec/VVxLb2pLG5nZYaT/iGoW3T9aMWVniyC+G/RM7mZoJbe/v+hf
vD2IRWh/Tb5MNtvFrxdNVL0d84IUpt5cSeNEQnK0RZyBs3Iymvlb3fO3e+JfXc2QANYkWmOTCvPX
q4WOPSICTLID02UDzmPz5vNptPGqz5z737+zN5nITzCy9X4ieF7LWKGCD3xfwU5ol6IcDeShjqYM
P2YUtJlX14Ql2Y22bKI5mq76ptcuxjYd9kuGChIjH2PT37+OP79nQ10DCiQIMf5rvftYMw2kfN4z
1a7pXxCFDmzZAz4e3DsmvPJ/uNifv0OGunrBdax0tpTvAWwNfBz642ZyqLRluSlxY3Ea5wmuogr3
2dzGjJyswkntf7juX71JIFgcSkzTsUz13bqUhgnMWlpRTL+Z+W0GPk20guO4KWKo1v/WDV3RkyoF
nKayqBqaKt9dS2LB0YaI+Xms1SF9bBwh6zxmXnER4uH311p/10/fobdrGZrOrbQtVRrvDew4oUyl
UfgOLfNCpE8ZWPkRK+2geb+/zsoI+9N1BOA8k0WGr6v+64OB5K9tTNwoh4DzTuJNIyPJDSTeNWBV
GHdRHOPJmhpi7ZByw9v11TyMvtEY/vbhfPfdWd8r3kQWOg0kgIm54NfXgKY1JdWi4zUwmPIqjSnu
2sENzwEyGALgbJh8ppj/YT1/u4Xv3voa8GiCIhDsoe/dAkNoYhwOrPgQgbf5SL8nP5pCzpdVQmBz
I6qCiQJ2RhplM+pV6OeEwx5G0io+a0w6mtdqcPJjGiAOg+qRH4M44D9Lotz8/hP6q9dp8MFwIl7P
D0Tq/Xp7Uny944KRd69CWXuZ5142SKIzqMcB0i5zX0CItja0zyy4zsguz+oAmImCMAgOfVrKk9NB
1J9iW1yu/GRraw5RmXgkioEG+P1r/fO31gYBixoPCZ8NH+LdS4WS0pXwwOJD7qhgz9PQnlJiW9vO
//113j31fGNQq/KR4TVaM1je742xAgo3IGLtUI7lcuPEC8LfAujAqt4y7n5/rffL+dvFsF/q7I5r
6qf97k3Ndmu0gKRZzsuG2AE7wJOYVb1Lama6Jf0rdKtpnE9aP1lP9FUJ4SqN7h9urKa+Jbv8+nVF
PAk9iLYNH7T9Pso9ayqmJLUe7K1+bOaDlekspp2DxRTFVbXcKMJUXwzU6W4c96hu5iqiwo/jlLw5
EyPdiYDN4Oj0/XzdDY7eM7tLqobxG+kfcK/y5ZxFLYNQAklvl0wEX4epzz5A113OS9ZMjH/qxryz
6onZe04e9tCoLLhtPuq3b4RhBolkz2ig8SIMfr2nVrFyr1jjcoNTTQACQBl9ldNDfM7g0bwQUh2c
W4XBx8aZiuBrbpNSfCSyGEdxMVTBfmk1oOIJumKmfVaz1gj4YrAu1zp6FyfQXhHfiYcRRDTxnAFa
RbedAvk1Y7IKYgb1YOS3dhKdQ8GTLQ2WFq0Z4pc+YvEu25BATJQdpLnnlI3A1VU7dMcYhzEkd1Pu
RqlSDBUW5mTbQl1eJLX1ZHMys29LLeH7xtMfptu0dLh8VTUAsnVcgPD9e+tpkYHhTTiGz9b6s61R
8jJmg5i5Oh7pg1sEQ987pZjP7DPZB3ww49Xb7Q3MsfP1IlJvKkFAy7FccMcdAi0kmlmnNcbs0MF9
WKMpqDD7r6tVr80nAuBYoeA+KJ9QsvCNxOmrqQxEtGUPPIF7Nxt23LqNqkb3iOTkR/TvmeLqoVpc
i1S3CmIA+D0AI6MzMYwhnXwrfmlUuBh4wMGU7BxIUbg/iGa6S0IhHuxiaPSNonNvc6HHL0z3CfBo
0CIlRg15joeGAUgQ58sNygFcHF3aTNfqUE9X8SyHyLOkFn/KTJB7EySzD9rK6vDF+j3MxxJnVp/A
C8DH28WkcmgUMAyOlm0xZHyXLKBe6GNnxhIBR69504Gou8kNRWUEmlPn9FGLISnhDaDLRWiJi5Yv
mK+2UfUcrUEmzL749hKlS+wRSbvlvo84MZhGqdxDA+eGqSEW9lABRw4nwXcWohYnzENX0OVrZulY
KUPi23wIT2C/lbK5CclHO6grGXwMYYQTHxZ7pg43XBPFcuzBAu5RMAf3YWf5yIvS53oljs8rezxY
KeT5Yu3SGG0hMMtpp66scnullhN3s1NXjrmSQjQnMXNBcYJATDPhncNFy9EMrhB07qr+AY0BXk1g
W4lGNM/KTB/7qDw6K0c9Ih2boRhs9XqlrAM4aNxoJa/PQ9dv9JXG3oFlx6sszmEeXzUQ5xEBCdJp
Z1STbDgw4Or4wQwg3M9tpYNgIKetTw23WjnwiKdVlzFCBJMAZ5Oz8uJjJ7pto/nFqfTnaiXKJ0ou
4DrJAm8OvHkUrY816lmg86LK3Hmy2dX6Sv+E//sIT2tVRcbYGKDYp9K8H4bghFwzfOwqffEjOcO8
z3IWYLnWSLk+X5qxEOduaesbLc7ao7KS85fFvEghodFNld/h+iwiYfulVuHGzFqZIMIIVlMDMZHJ
USMpSyMiPrQuekKZcfNmIGo2w6wvD4ANBEqELMD/jHvlhDu/BuNoSLSIJutFaqnZA13f8AE6ynjH
AIn6oYTPEDKVWeZzai3Cx2YEUSPt7M9JHjcH1AbTIaodfETwz8S5CdVb2xjHW2ucZ7J4+95f9x+D
4fMaahBXdX7dAnB1LZ40xnfK/2LvTLobN9Iu/Vf69B4+gcC86A1BioOoMZWSMjc4UkpCAIF5Bn59
P1DZXc6sr+xTva6dXWVJJAgG3uHe59qUAlKzp2PRd4g16phCFwQl4AQkM8Eu2IfbEU8ELw68Q5XS
+vTcf2zeCFwg28fek2RBCkNDCOtNK7pHIhprGKbJajxZ8NHHWYljq/vMc3BSmV8aa8hDscY94Ndp
4Wz08VOXxuOlRSpEt8ZDpGPPsojFXPCd3GOMac5nlgS6eUJ7gkadrM+sCTkSO7EMOTdmSu1Ai5AZ
dxl2+V0+N8/FGlkh8m74RnC8/9GRDzOTFmbKB5k73tP0mXghnFWK15OOhQqOeqyY6kO1LKTCGLV7
16zBGVZZVqGxhmnQQQeHYDJJ2EDp2LxX0vd31UrrqQHUemskR/CZzsG66mw7kBuJLSKAy8sI8fjM
88AQZtH8rykfpmrMByMxmD6gCjrxoQZfJqfHY0T+O6mbxmD/mJY1OKQzmBpgYkP9gOyGofIu+kwa
mcFH7sc1fsQFlrQb/cT+que2vIXPYm2QIKXHKCW6hCuYbK0crcwQmfvBIeDECIorHLcijPJA3hLW
6Ryc2rPOq6xt01SL8yVyanOb+2O5z9YElQwP5Uvf8ZY4aMDBfkat+J+xK3pNYFHEYwPSH03Evm0U
g2ucMMYJUlvEmt/C+LpEHvoZ6zJ/Rrwg9c/2GayKb452GeKsWTCT4fjlNoqQchAZO793tOPAPAiQ
6T6zZKzPXBlDFzzTV2taiMfOuaZjr/Y69zwaALM8ZWtITcfs8wrWb3ZbuU5347P1Plh1q9DrEHGD
qKM5jmvqDaAPZLdrEk7aF/7ejof8VROa5u50FdRPdgyhy11zdILPSJ1qTdcxenJ2qjRrHr22+p7z
q3e4WFG9B84isxCK1/CCdzUdOQTI7YnRPZAxYZLmU+MuRqK79JdmBPMBOPSOTzzZ6Vz+GA3CfxPC
AvQGrwrawjier7w1NMgzi+G0TKmx9QOegTUa7v28JgzZvu5uTTG0r/DTObP/EToZwV8ggnKwPwMp
u3/EU7o2veJG2AhxPpQx12GXtBljbLsraJM646N2VXE1IVu8Tkan/2rE0fBqN4n/Le4DeJUFYW3Z
dhIkQvDYgxnq5SETkeJgsKY9oZcK4l3uDk9zZybXgti7rQG3i3SeGu9YMmozpIqKr2dgDNsuq5lq
yDo6OiXCPF5VNx3sIhVX9phkxOaMPDNKOc95mPW9u1JVS4WqKK2ng0mI1Al5a9VDMZPIcxOUL198
7Jz4hx3ZHx3wCiI0mQ5tdJQFnD7tYjyQlSyI0yj53Hgo7C1RdadqSfofFb0RHYbKtoWRcxWgTX+P
QCmQgEGJc6W8Cv6LJ5vpgPMoesRzab0YsjI+pNuPZyyV8YMDFzY0S37tZE8BJLYEyxt79O9RZSeU
kyII6zb5SmFMjBGCT1ih9b1rPRLiXCCA5XhFHsFNlT8SPYsX2DfuvWEi4trDEYMZG8MA6tGm6ObQ
1qA22AAy7vTQJZoF/gqfHhtVjV2GwZS86kwqFJX0yZj5upJHZXzA4SHBzI3vxAQEe3p5LAyNDC40
fPBQ5+4J3bwTmiTJbHKnv/DjABcca8WtF3E7i3QyCUJDo7CYL0vFL1Zl7+/lXOtNDphob3fJ9KV2
pQpJoYuv0mL4MCqBb3ZBJOIOSA1IORE70nwnkuPm7BAIxgNyGmZUeE2/r1QnXnVngmuzbJ46FEKY
MEob9U5Sww/t2rPopvSszWmvXVY2FgVXSFONiHScbkZXoHewJ/fgNFg5RY5qq0XonOFq3khKwdvJ
RHDTZZiV/K597xoD2TUShb3pJiX6guB7g4v7opkrF1MOs4MlFke4LHe9Zbwkrn0BenqmTgmu8S6c
cqP+NubLTa8j6Hnu16qJgPagGYO83F26zfKR1vEjS+d7TxaQ8zQBxWn2Eohk3C9grzZeF7wSeNqG
+GpYYRmm87UE2oyyXb5CeaWwMmIOeSWPmdt0W9Y3F2lfXU7KGzd97P7IBySREshFvHEMOoJ47ImN
s5YfE5lnLkbWi9rL0PLMwRw/CUD8yKYan3S0BvvRDHQIOrG1N5fdUCfP0zC1h75TZ6f+Kvyhf6h9
sDWqTb54VqwO3hjokOih/tmQDUgtnAqHgR7mjP/VANGbrl9z8HWOlXjPLmQ6FmW1629bhfI/YcN0
04/p2k54gZr25YiTXGA6RXdsuguEQcdoLlQ+3TtgH96Ey+L6RGABAx0W9K0v9nKQo3XZET3Wppsa
Z+xtJpv198lapy8zQ+eRwYUZdcc477ijvVFXzYappp12G5Fm5gXZ4opkbeqhA840z7jGYOUl2xbN
MTLfgKGp2460nBotc9PLCL6cjj7aCEH9hr/KigGuG42I9GmkttIvaYtibvt+W3K8MGdadxpz2Uff
+pgGISLmCjOAhH6XLNN1zTPu0a+j+YoocbrkxDN23Vy74jo1nGTYdcFM29F7HEtjm1phAY+Mgy6Z
hvd0keNN6s7mGV0+tIm40Selx+hbnBsMuWPbM+/N1ul2Lsq41VAyCBSSo+uQnDisLW/QgfJSTtU+
1YRXIbw1XMTEptUcqe351YaLrVqVNOgAYWJcQWtMlhjd7rubYe9JGsq/ja2qW9R0oSZEEOhxnIYL
j/yj1C0P0taKTpZyGAq0NPk+9IbLz03N598bKpt9KbblY+Ra7Gx0NuyFZ+fPn/9JgMD8Hl6U+6X0
0mCPMGQ5SEtXL23e0YNNjWRK4FvjDR43MtRoNtn1LIX7JdBcTMIyQFSprr74HBRX2cQaZcI80mvm
xhl5lAIVmwr2RsBLzJHEntylI2Q1d9onhHK8gSTlN3KOLHctg5dbJ8nM5xzjuKb2FbxmwjGOjVNM
t3qi3l0Mheld98sVcaBzF06C9wULKHqo8Dld1wMx3yFYnXpPqUZv3/eZB0lXR6MGx8RUhOElhwEC
yk0kmmBb2oNTE3It8pz7nyX1OSjj6oXhXwJrOmWi6C+XEOdbuTEhwDOSqaNOrVat8qLT42ifs7oT
1445OniGFjZki8PwCk3o6fO+MxIYXEPKJwDNJ3vMmmy5U6RR0SZNxvr6VBV9GAXTNRST9nKX9es1
yXAYeSb/ymc1XUPm4bIxpAxts1quZEGsQrmO4tqe3GJvjsabJRv9bUmKJdHz3AGdLfjdwbD+wix1
v5CHZmAHHPxtlZXM8z34eZDixHMu+BFUps0RvDr/b9lxtUx3WtlzlgelgF+0g8uEU78eDfGsTAeK
pCZycp+03PfKoLw2Peas28/Bk2nI6GMxbYZKKXeTtfBL08koXxglFhYGDzl87eRkngNzjE6DisqX
iLTO2xlDebUxFF9hNDjsJscuOkWVWb5olEHHoMaju5nbIRPQPrLIvKc54B0W0mX8FcUx7imfyOE9
cGd5pm9pnrpgvbw5wb+oa7lMiGfl/ai7lEqLFy5brd5yopZf8HLwp6FqD6esQ1vRMXLNN71POj3B
vmEsmMh1NT8HC0Jfcvi+9k6LYYJovE3VVT9wngRhwDJv3w4AFETHp9N1EV/2iV1p1JP92uZFsO8a
VI5x6c5XFiPwqyofom8NEGcHqfdiXmaxNG8KywVxk0E7APC4cNELjsO9QMwFeaThI3bWu2DESnB2
KoeRgrPicLQP5WozkhZ5cr1FvK7qqBdWkUYZsovlO102TrQt6U5hUXI+BjZXCsi28bAGOn54EQzq
TdCt92ADVjz0HEA7SSxhQvjWvBwMr/ext3oAIH1XDe/YBSyAVqM5PbdlMn2fBp8tVEtB3jBKreKd
oqzgyVilNdrzobgGCdE/JGL03yrCoj+ScgpOg6PQFMYjTyY7ITt1dryZFM6CO2AI6uhb6jqQLlbL
ULT1Sgbc26xKyvkf4+f/Ch3+RntoWggT/jQ9/xd89OFlfEl+ynD//Uf+0B46YKKYYYNf+zXD3XTF
b9J2WZeyoXX4T5Al/q5ykBI6gIkpn5DHdQfvs8T6XeVgIqpiIo5rn9E467LgP4rh+iWrxmYJ5TvM
+6FUkerF6m3dO/xpEy5cZpz47+WXtq1w5lTkAJHrbPI6wyXLg3Nlx82dSjKWP56WpJ5q414GNRQK
25irMEt8J8zaiXOafIhxa2Dg4ESpdtDiYJ4Iwe9xqQ5jolbLBC34VK0HuGMdSzXBX7el3GFMDc7S
4HRTQTFuk1RjPZazvl/DKw4B3lTEwSxWi8VYQH3Yo31DrLK6mahfs40CufgSxNX84llqTrax4rKF
Kh44GxqiLS8AxtUnxPDVay9V+oKxfL4FWG9SGqXzN4wHTYgqS3tgoJbufWhiTLtVtpJDoNXHyr0z
O4N+pcxa+bW3puXvkgStdeH4zzXH50ewriL5VFmzokjgNvjzR5Avtp0aUet+WRryAxyrd3aVnBpQ
2uWEgYe2EzUz+vjgtqS3I9xX8tbwQJVOSK7xsGcyPu88zymPwdIPV0vkKHg1dvlmJtp4KsDT3KvZ
mHZOkqZXvdMxrvTV+ozNOItj1VQXfWuVN77ffO0yi6lKNZ7xTTNzUnKPruUtrd369U9fktt/vLv/
xTbitkyKrv0//3uV6fz8ptnRrzewjxDCtp1fFQOV7/pxJIg7scs8+maun35MGPMzkLPp1vAoaPqU
wo9JdreDlIg5IDe65aIFMHE19ZN4rbTJZQgc+qm4sPVpLJnTRzP/VFtSvkPOMS9jg4pUIfY4W3FN
yeRHj7E9yX2QJNmjLtCWuDoThwSJ4F6xfN7rwXK3c9l0u0Xk3NNWJ4ZLsVhvhdufR6Q5h66PnAPC
mLaDU05uyjRrBiKj3IkqUBdO8i0jUeCE6XP8kajSwvZljT/ouKyjN2fNoenW3HGlhrAa+osuGad7
vpT62hsMvkytTgg8fxN5kjYbN2pcxqvp4lyipGV2EflTv00Skh0+K1CxNJL6fH3kFAX24YJPadMV
SXqFSbA+z34mmW0U1bufkarNnKtpXYAIQX2YFs+8KFTbMhisksus68TVZ5iIX5jDFfkcvDlJ6HG+
q9WSHjAMpUG42LG8N5JuumkZAZ9ZgMQXCRr+A8lPfDcNTVswjO2Trdr6NYh1jGGpCcI1d/xv1ti/
nFmrxANcvone1LSQkEIu+fkLI9nqRfHgGfe04dQcQV/sDdDxj/PEk7/xUCiBY+Hega31Y8QEFrbI
FxlFjLN6S6tyuq5cGTH/FPWTV9v03SoTsIyq5ymw9bbu3RyzHL9FD6CLNulAM5CtsqwS2CgyTsJ4
WieednNOpTSJtTn0Zt7qjML/CgszTEgTY8AA3mU9UEt9wgkFvcrpMOeumSn8TrrY60azyf28bSkA
aE4SSp6mdqgTqzL6IAdYPPtGDsAPe+lTQXrINZI72vG8UuyGLKtIXguh9+xokVP3EzbajcXwaU/E
nPZ2Gp7RjS/qP0qBf6td+BQn/PO8Wi8/Ng+fFbTrAvZjI/3z5R9rszXipYnuaWyBxXRQDkFF1caX
dAl4B2YqRchmwHhI5wREmANyoLoCfkA/7Yt1dWXxHWT9gsXihM2jetEDeDmWreSuQCloKPfYpnKl
Mb8c66Q3Lv767Pmf3gCSNl4W2RCWx+L85zdQwH5pTBV79xk91m5KTfqhKsa56Eb0zW3BORPVI+eF
dDliCmyUO3TvlIooRi7N0Y0++O7h9JNz+YLNzDy740SrK6s+uqgzP3rIvJqaUBUxUtW/fu2/xjys
F9/2KLxNuaofWT7+/NpHIkxA2I3Ofdmvdd/YttEHd3PkHxpCcB9NIo/W4TmB9t5Afc0KEFhLUbhH
v0qGU7nKCcdANsfMYd5RerXx0BF8sw9GZmLMTfriBmZwcvYk73/MA+YFHdkvHwOPCT6iBPMKqpCj
WBafehpT3W1vj7rYe4OHCzCFmzPJhmOo76Mnqcz0YPiGf4IsIXeRDwQcQlmMg0hN3xq3IAZmXAOi
Z4X9qvDgPHRSTu9m3HJeSdADKxlSmruFIfqFVepXE6RMq6yi3tB4V8fMpjUoPL7q1ATT7edXLyKr
4q2JDDWQUcb/2BdMvRa68/tMtsxA8hQTdyBr9cagablIhaLOr8fh3c7y9QRZLw1YnlNPP3pl0+eS
xpJz8lVJI9aEef0gWMQhj67d5NnL0x9WSTofcLnpqEfJvnkVfuL0lWc1je3W8bLpOjUXniV/fSNQ
JPJJ//Q1DAA0A3BaNRprOfhL2cBZnfeo6Wp4n2bnhaQwqGnzeTZnUHj3c8Ro0SP1LmE5qeILSrHq
xZUdhl+TMwnvCNgco/a2KkuzEyxOxs/grxMdDkaaEOMdFxcdoVl8XU1ErvPImo/jv3uVoz289+Rp
G9vAdXKP0RnomX1BOXY1FJ2zyz2BxGEi9CEjfzuLsovMjGh8AjIPDn5sTNt5qTyirLAuY5XHvata
aPGGTPZB7Rp3Fl+scdvSgr3VDo8V7i+1ha1UHiZUm3ubby3ey2QtOdfPtRqT7qmd9AG38zBvJ5kA
V7TmJ7Oqiq1V+taG16PyTZvyhQhiphqQFkECESnt/cDKkm8boMgnJA4MTHBRGhuwL/V+qaUqryT6
iiCseq0eeQ4kj2yDyCdaqtHyN2WSp0+tbxP1k+maqTUIKzGFucVpsGHtrt6MgA7aINuWAqeZypPw
Jx5VbQ7SYxnAtVmqZ+9DtrPg7WqOPIYOa4c4Nvxz1H1qWpRkle8zqSTEZTGLh5hNGdI1+3MkmVqv
CsnqHMamW+lLo+vW8ieYWc0npbFbgG6+5lnJudrVub+dOdlFaBSLeY4dRkwzN4JPb1mWl9AFFAMh
07LWWKfE537ql7u0wDEBSxk8SUNteSChMIAy1y4L2wTtH33oAju8Jbg7fRfNBs33Mu7sgebbJx8F
ykcT4cRr1hFDUlNlouptiMMktQztdCS2xChlH5433nclqyBMQTZQgFF7RZjhFr/2yDG8lbk3hjwM
Aq7MOn38/CL9t7P9u86WxoMn97+X8KMke/kz2g6J7/oDv/e1gfgNZTyzNUh1UOj+cAMF7m/s5Vye
rHBOWdmszfPvPS3sOrKoWdCsTjyXn0NK93tPa4vfSC9aTzG+dJ9egP/EDWRbv0g82cyiPyC/aT0g
pWdZvzwk57zrBvId/JOo8+nSAL6DuVpiNbEc/QbLYkH33dkeAn2ik6GYRfrasvLmG0x1fC5Abo1b
gFmCjL5qHm5tIPWPepGRfVmT6fVDwb+Mj2VtAR6KClYuYY3R+aI3o2AXwcVj5daBlmwqGDAEpGYo
zFI/exuG2TkPde8/Ir6hvkdi5uebzjflvC1KzDB0CkcV2MlxcIZsl1LE9+z+A4cSJLfcN8wU2TtZ
Jsc4y5brNJgGcKO1fa8jgw18j4Dso7OW/AZAzBVGV8Wmjmbg2xJZ9YtNvfw0xWDNJCuIDwNxDDMk
NsX1ppk8Fs5Iu7bTbLW3zAKmK4g/ZA8ElGEfXm4Yd2WRQg/2BtahA4PLo2tXnsvS3CfKlQLWPtNY
65S928JKbEJ/w9YtLg4ZloGdM0TqG6mM8URMT87wz3NAJgS5m32ZTaVueocNaNmX8SEZs3gfw0E4
oZ9n9F5OlbVdcrwNObE4yX4pVIbqc1aS8CRT9ujKdWFiHyYa6W02BaFMNGaeCOEx9Zdu0EAbiXR9
ItUy3aUt+5sVTe+GWT0Fl+sBvHHSeX2KBJVPukAZJPDXvP5+8HJo7RyHB22I9lUZkd8xuOQcBavs
Vl/qbF3oer4Rluwp78ogQ/tgkEpzY3qRJzZ+vICPd1mx4Gj0huesF4g4ervzL01VeqtYaJ4Qb8Re
cMKoGXXbOB/TXdYWzU2henKnpwRMtOVW9dYeJ5ZBVM3dqUtzS21cNcW3fld9tPyWHhQVyQ1stKzy
Y4yJyNhYIyPuTWIvYHUbyzUOlIbZY9RP6ZE+pt5RoqfWsSrc4aVConzrjs2wJXLRuQD30gCJs1BQ
mWWAA2xKMAssRCynj8iGomm4Www/KUndW3jQQNUYkvtx9tRtLoPZzN74dKkNQkWJyrXl+a8M9qBL
M5fs110vj65jQMHb3CzZEdhoXEZnpC6dTQnbj79BVDBkteWL3QKsJhzSdEI6zaE4gCKuLowSOhZZ
mm6IlNMjUQUiXptrpDnMCfCtU37GGp0hg1GEFuQatqLKwY+Z0QUkSdywXkf3RZeEFdsiEFSbl7IL
THw1pofOyL5HCH+AbO2clwpg0iwaASuwmA/uVHPd+2mq8s1Aase28BvuQLuoxbWB89bdtm2POqAh
twavXIdWtCGnKZ09cEzBeO6ByG3HOqdTc/oeP3m+1Jcuscgnmfb5Pd5FpGFJ6Tp7FDLdvRG0d4vi
i6nJQVh86yujr42b+frNR2q4TV1XUXmk7YPRy+yaUg84R4G9L5kc80vDup39ek5CUtDaeO0wvoeR
liQZEIkcDhIoz9DrW8suHoH0ZeFqsEFlah3SLr533ULtcgqhEGxCEaaJGJBgtRm9xeLmQNbc9WqX
4wOtudqKYQ6OXgmhXGYu+FyZynu36tlmZYsmDKFxjp5j52z7IFKyTGj7KyfQYldP6XSec4eIFjih
1ND4JJSG2TxVSsEr6rwHhln9ZTW6QNmCuOVM8UrOjk1C8vcPwnPADCodLzdC8+1Niji9haCQvQOZ
8Q8l07RDbwTpmdVtMO3iNp6QLC84CAuRhyOdexgnur6GKJDsvSb3LzUUEeagM7vqZICjixyXKUkH
N3IQjN+4KHcjOKFdtFjEdIHB4GpLK+WL6htB8CNJZh4ivjVg0k4I+Q6puYtz4qj2Jm398W0Q9I8k
Fi97Fr5iJ3zK0tT2+oum9fPnuvT9W9UxvwxjPv7nFAGYdHrj2tFTcWMOfbKds1g8yEBmH+1sd98I
uLZXUXJxBycv3s1mLS6yyu6vhqXzj6mwoZ9l2tA7BBEZh65K+i+JbZUnX7XWi0Wa6MFCi3aeZA3A
0KzaAxom86ZtHTL9urrnWzXOX2IzX42ghHVfo53uziKIhnPrZNFBKEKToQ9qdoI+R2YW3wAySA8J
rQaDVQgHGz0g04g58wHB0dJRyqrlhIJcXZCiml8nMou+qmIZFbMMp/0+JzLRxKcOyVkST3JoJa4s
Fu7Ta971OqT9Wx6swZJhFaVQ8zJkC7Dt6/ZrzZTyvKhoPIOPJmcvc0XK/Vare8ftwW3FgyQVNa22
MznZc+jOnXqq6qq9tRaXaXNbRqSrrKc9T/TpBZFL9mApm3kzI8NpN44WebIwcAi778FlNt1dB+s2
vYkby+y6Z1G7EE02szuaWjzPRgz3pZy8Jnli8hMV6H9Lt+dJpIWf3iylGqBBWH2+600Cs2ZrmIgR
FdPyhhCOVDs9FzSPCUewsmyGhE1DUFas5n4/ivxhnGjpEkK3d9yk0ZGPMiPmrsjurGrutk4BLDI2
oJq7JJL8tz7+ZFf8TX1sOWKlJf/7+vjxvcnLovtzifz7z/xhmjd/w2VItLYFR2INAaFD/8M0D8eZ
OY6AJcIW6Gf6swN2YnWVUUH/UVz/USZLMkgDnso2Yzf8Erb3H5XJP88P2C0RaIJNziLMlCXTrz4y
n7NlwWjuHHyfeW+uoJsQ0mD9zZziV1v8auDlPa5bDow8+GR+nldFPQYOq4yjQ58WEPWRlvkbf4pK
uLRoY1CQkhBAVkWzLRfgUX/6PP6HJcP6ef15RAKswMS1KrAEc9k8LvbPfxyDJ2I97QeHGDi1vvAa
wM/DhJc1d4S+T03SCDAXVAEzv8TatsucvE8Gme07t3GtbbZaF+c+Tfbd4GehVRvUkuj6bvBYFEaY
Zujgu7khqBFd3FXfetE9Ve24/f94E95KFHBgo3Ej/XIFRUOOFOL/4MC0Te4mG0sAMCP7mHjj/LW2
iE+JTE3cuZGzkl6r4G9suNmAl9gv0EwGOHfJWbotW4iAYqCOBgGF1MLX0OiDQRNWOpoPedJ3F3Ox
sL7H0JPs//o9/GpeWj8HpnvMqj7bu1/tbi1ShX5GmUVKFVnIjVh42A/NzMI9/fjrv0R7+S+fOCsl
2j9cmXiXfrlYzmC2eUXkzGGwsDwQu8eH5/r1qems+k44rFH++u+td9CfhnCfd1iAopGeF80524if
7zBptkWRGxl/L06aO04Unls9SRd//Vf+h+tnC3NFwrOupav9xY8VNBwX2WhQh8kx2YNK/qisgFVR
6z/89R/6tFT98n4caa6hxOu58C+HQhpDvRm5Bw8Sh8px8QBLqIB7Zp754ObcokwzFRK0suz0/Tw4
/rkidxWBMOmDCpXNZe449V0zr4Nzd3BaROdUkSyU2eTGay5RmZFgkHBvfh1iwgxCCzW+scHTymrX
jvkjU2VDCfMlrDHptk+juySHv36T1qd/7ad3ydLR5GjwIBS7UIF+2WCsuRjEWaKQHVMLBWlcjkcv
jlri8Rp9UWo0TC4N1ZQ1Bkm2rAS4edNDlqf9xWBW3QWKvea6gj6G+gSxDq4W8WRKnVw7wWx/98Y8
f3Jqd0cPLb+YQc6+pxkzsGmsFx6k0NhU4OZvu0FNX1VcyG0RJ/OeNHAzHeLvHGf64HaOQyqudA5D
wnCOp4s65FUkd1bsJgeGcEBBYUzulLTNPWM1/6GJnPSYGmm+LcxadZs6jn4gQiJfs9Xx0a6W4aaC
R1tvhsWzz7lfZ/shctk00xOE9PN96PYu0MjOjOl7m1I/EiZJq0wnUeSzceME1fyGFhM6ZqbQ5+jO
2juRnbab1FXQS3Tlbg1vse9AyIoH2oD8CWi3/qhoeQmxFcE8h7ggCqZ7JUrbkmH1s0fa0dbLZXNw
giA7pjONwQKM9cbFqbPt/KQINlaeIMnsivoVTarzgkNtZ0xopFWk3w1t+FcQeo0tYF4yjrzmxLSA
V+2a9U7L4DgNRnFdRhUkvakYu01MSBKNYLGHLHler+e2RIcTWoFvbBDEQiXPrW/OKtG0JyWOsc7z
sx1V81cj0ySWmOjers3egGEEwp6VL8+XEESfBQ8y8I89TpmXJnIZonCdiiM6dnTUeIsetM26teKO
GDK96WvLeinrprzQCsWyVU20NiUApa/FDIW71NPIRwObrp0Yioxzj6vJupMRJjjOtuHYZSW0E/xl
/qZR8s1q+Mwb16zu5ia7Slj+g9cb9HaIs37L6APFBFX06oM7wdJjQhsDiWF6FH8hLfwKeOt3Nc3i
oFgC30fmMu/SxmVvrF9kXhRblsZpaKRu8NihKiXPsjHP3tSPp8LRwQaeJfNuwaygT2tj0w0i2niB
oTii+jE0V0KhnZZM4BBo7zVkNnxjfvQNHuXMi5miCyUJ0FUauwqKqnrg5hpGb8tjSF8kse/SKI1J
skVDLPcNLJlLZwFmikVZwOB35hckz4K4mZaWo8DuR6aMTCtKbaQoG7M168t5Nu2jKqbsYFqJONCt
mnvXmEv6uqCWyCN3cqQ5VsB6N0unAImLtPjRDHb8nEZm/+Z67fxsDc14yn1/OGo6oc0QV/a5Aaq5
h5UdhU4khmNv8v0yZg2IL5uxVKHk9VrzWCSBtxqLahf2sYgRwhvL9NUeRHFhCamO5P9WOzsrCRGe
CQ0LrD7Z0xzQPU6ktdOvrmgv/jUFKo3TgknEKaiE3rplP+8N1wc73wocuekwfwxdM5bXYo6zbVRR
FCwD6ThNKfUWk5O/TWKeHOZCSpYUfbUTA5IF3nFz8lzmIthrNXhPMV8unWifFtaBN5Iv6vWcCKhF
hH4zdRBVObwDkQfqj7+GNIe0+aG8Kb6A5Og9fmYrFcRfPRiC+oKlg7rRGolFNFDyofNdCZIBOU8R
PN1605ukzSFK1fdZbNfPKWD3rRYL8h+DutBwiB9gRGMdR7sm0zMO+seyA51RJwRtfGpbs9Tm7IG1
tGF3u1y58CZPS2DzumarurYUElOvbXhyjQDcQpfJ7zYtAYUHzcA71+iHApGPhCdbcld3i9whUolv
Fq8iywlcCz8jg4wgKNd1QkD8vBLdB2I/DB1vCZlTvOksj/CdTqfOzgqUc2NyMBDP0Sb7qpPLATwq
/hoP0jK1CobBCK44dWRzGqB1bEzESh/UwMNjMjSc6+jDT+mcDbjYHVvuTZHX+6gwnMuuKY37mT+g
tkbGkxf/fs3LnpXzfYzWtAqC27p74THQJQGov2+ErBFBKPNZYFlutQlmaqjLfUsuwrihXrQunUns
UWoS9tL01vVg1dBYVT0dcy2ZrmUpUUYYFnYlXFYzMmQIbYnEaT06BHwIzKNFMMACjoc9+vxZ7bn8
nv4BW7ZW56bN64G72ek23VQQ6oriUgCwl010DqIcJ449ER+6KQBvq+tplGiVj5+P9/8udP6uYeXI
oHD89w3rw/saWNS+v//Usv7jp/5gMpm/gWP7Z+P5R1gR+xmTsTxCRNOjAvXpZH/f6lgsfOhFwcxI
YZtrK/v/tjqW/RtdH/WVF1CM8xC1/6N21Vu3Nj9VbQAhwGZQCePrBxz3S22PxsYy1OgUR4MhkUnS
uhfF6YCBYRxRKeQgGsA4I1w4o0yeqXvqeWu2k7WntPMOdW4D+nciGGMkLpnk19vuw6SF3rmJKLZx
7LZOODbWLoe8+0x8R73OaBwLaSFRMbISWdgjNsMPFxNRHXlvfVF1jNTbeO8wgty6vq5DM9JA60lV
3M+DEDwK8ThtlgDDKPRQrGEFTdcmnctnu6r9l4Ivy7GfMDKIBMVxSyqk4BHKbC1hpNYg6SjmhIpR
MVrcDK3N0MuSbom2vK/xmRjLCZ13oLaxdN1X1BUVqRl5ldWbvInjKzB03VeYj/55Shdx36Ne2xaZ
dzf0ZnAlGPP/X/bObMdtJNuiv3J/gAUGGWSQr5qllHIenH4h7LTNeZ759XeFXK5bVUD37X4voIFq
wMjBssQ4cfbea2+8PAw/Q0CIOHg0lUf19Ktg218FidnsGxUUhzGW6xQE/UNZlerYUL64c/FOcscZ
MGGjX4RMcE45pfec68aK9FW6EvPobanMLIEI13TkmTaMu1qaa5PV7NnHnHLsCbgdIF6Kk0wj44Ty
QdGUVYOiN5JlA966vBDuUyBjPQMe8zjyIIorubWQJM8hj5G9pCRgZ9XYq82lXR6YYtuLio2AygLr
2Z3y6WNOe3fbjlRp0tTBSj0N+EazS/C0L6eNUU3zo4wT9bUPQMwW82dMd+1eVDY9K0No7UEXBq8D
cscuSQLEt9hN50s/W8kldHIWrF41Retp6vKtp5uBY/IPB4q4G0xEFitbNkJbnvqkbTxIdQ32sK/k
5Mcf4Tj7u8UsqIiv6YpgR2vLBzmPbXaek+ol6kXy4pEq+MIJw5hcLI55AQIx3HiGSSw7N/lHJmFe
bauQ0x/jj7eJlpQ+dyhjd7YYyks2ipdoMgDpE7WqD15fpg9TWRsnr7CHO7QJ/0bWjBIrPK4JWpMw
csXCnMp7FtLpMqz8XqYsXXuNKyb0kBBF8GH7N/YukpW3tiABUTxQWvlh7olKF9jvIf/JnlqEzOrz
DQoUBclEynCGiDzGELTk94bhHHyH/B2XxPrSuNaXMqtVcKa9Z4puKpG9uaw+H/PS2dN4KYxjG/cy
sPbYJ5NUQZ4YC/9jkXMdb8NgXu4WUmD3bW95+Ydf2MFylgWJdq/rX5xqsu8br4+aHhS2epZBm3Do
92LLftY/jaWyMPHDp5o3VeRWj9VkYDIllDmEh4p68ObFykaZThtWRAW86MJVpToVrQPtl7InzG13
PCh53fOhwieGZuM2WxZc5juqDe3yJhDHW2j2uXozGUnrBrPgLB4KlKfgW8Jie+3Ei7/iCYermST7
1uxLuoQCJ6V3IO+vsqtgEz9ksWZG+slXZQSzcYA+QUMl8VPI7aXXk2YfelKz1CUB6r+MoGBf87ly
vqT43ninmFQ7HgUGyQF8CF6uolPy24yUne4tpLzqoGb6Pje4pH0KX0SAds1Iz49cshDrcT6Z4tkm
vEO/QpuBQzfHKt7z7OMnMvUyX1NkiQsxD6E2rIbYL8o75c0W8urcE/ftbtJsdEyiNgO3ezWpcEv5
qHs3De60cyR7bNPMBkDdDq/x2iVb/Ewyx6LKxmhpzi6bWmMt/HGfoPNfCl+SPYqpm5cTCQ3u5LpJ
orfJqQsr2hdq8PZl1KT3pGDPS8gucNUIp4Sj50Q3QVWpXTl2EnsN6Ck+VPD7arbnvVh1lO6ePNXs
HaMg8ELjKs8vrtjbJixtYwdNwHxSWYWoYLULgWC8rivXKIpbGC1UjgzKve3ceninKdICt2/7NzOw
IKomKFdIJxnuuwYyA4TuPjMJ5y3zRz3XXzmjmlvAS+5uVIGxjukX0GN5bT6FtFjtuIPQJSDD9kFK
+vHMuMiOWajau7LzDIrgSS8OhRl8LNgvCASJTavcEC9XEhxyvtWnVAnigrnvvQ+inspVB7HnkDj1
dKMWhanNsfD81BMXg3FOPkc4JU9OXYI+QCnD4CNXE7baBDtCJIAUDAQ2kzlY7l0/SbY6ZtNmRfWy
qLI7zu7Q70WDkc8ZcqememLUHQ349saMPSkoKrS9ZrKo67D16A1jcFM1YH9Hfv4TbltnZYmYTLcV
RPfVHI7rYUFok0SzSb753g7qAhOxGGXEo3GRnxCuGs5ClhFfBs/qLkIt4vvQW+XOISm8TUUgDkir
9psx8fMsImqbijzlLomrakseObtNzbF+7fkcXvqma+71jvzsEVeHv1oQ2I2meI/cO9ympbOsHZTN
Q7YMn2tPxudZRtEbyAXoroHw+SatyySQs8zsyfWsy9w2b1vMXN065pN/7yRq2vuW23zxsDPVLWsy
0gPdQ9M6ky4n9FyYUa3/kLrRciOStPw6tiFgnYn2tZQr6jEyw7egoZ9aFOTDs0IpXUFqb2NLA45M
YXyCImRux6isLxMrIRpFWwIRnP71hhhYtZEiot11Et2LYYFr3/Rt2LYrqaatb1C32g6Ty4KCCMoa
0wXNY0VoEfhHxcfcgbYqQr4bYaTFxg3Wk8qCyRY7X6zJY6aQUQK+3Ux4EjR0siLND+4cqSfWEV7I
kQdOJYyeW3eu4n8MW9//E0FK4yoxOv3r+f6CGvU34urvX/Mri2RK4Kk2cXlLsQBFkfpDkBLCBbmq
qanIUSZyA4vsX74t/zeTYIppsvZ1HIlD648JX0p8W0BBlG2ZjuMiZv1XE74WxP484ZtoNSgF/M/m
ZPRQv/66TddeeazMM0+OqqI+PYNvwNAWWc6afWo6s79J7YLehzBK8BPa1SW0QDplvNO+tQFFePBe
cqtae2Ba4cssNWn+kofjB0kJaiCLGJ6EzKv5XCI4ZW/xIutz2S7mtwR3kr8SfTr1KzQYNW+o6Rrs
fWy45YvqOmUdca4Mw2my42a8YHsvtlGHQI8jWNduzG56wU0DIKUPWNnMxtnseeOvGig4tCEUi7Wh
quAzD6pma1EgcpTDZM7rOfHEd9cxe1pybPqpfI/O+i3xTHZ40o3iSzawme6zXh2MhrDnUObg3Ju4
mB6G2thjH2GBaflvY8EtJ6JOmP6iUOP7ZkrK3ianZbXZ8xzo5+kc+SJuDropTAjMcATQN0CYGcZX
ym64rYuCjJZFEQYpf1jsi8D4QKXPylx6QTlH7JyAgDBygY5xb2iwdz54ReYbUtVJ0Dxji1qOXSNb
Q96oJpwoQm4EHKfRnap941VRtrUma7yUicximenqFCHYgtFzlw9izfM96vCgxJid6ok2QcIx6oYR
tGj8Zc0mT1jI8VHaJxSm+CEnynAUOZ1/w002+gltjzzloJenRxLtSlWsvMA64RgQj207E8GvfWP6
5heqSn7oNMWPOTCJ6d9ajHW5eMKaJHZuFyuWbhV3u0/VmNE0Vuf+cMZVRVqU1jheqCYNIuqJ+uQY
S6bObZOlD0KUgBBiDOsBWfc7jMwDdq044W1Jh89mrtIQZ7MQJ48n/DYMTaLZEOr2WkfkTjM9djjD
YoqpMgLsekHOzr0LT57HvLaWNq/22ko8XBcFfdnbzJ6dI7NZs1v8pf1SElT7sLpa2JBCWpfKHTBp
WAqxfK3CLiGjULS+OLU2TW/SDrMT9KVEAC7pP0eJHLr1UkrnHrMM5VYlDQKfw0aaN2Ei8x19u8ae
s5++Vn7cJXPtivWhmB6KshO6sglPgxSYe/PaG/tViq5xo6sSaTyxWkqPsOYcB9xUt3EXJJRFdZk8
u16ynIpgobIkMecNhucv/I7UwJp0//VZeOtG2KA3vXTPplLtJxKCweeoifwdnqlhT/uO3KZ1Wpx6
oaqXpF1uMT44D/qdfRdAzNiQsUS7rcVlSWgwieKqW3t25ey8uLKQl+zK/FFCXbsrnTT8FFbxctPU
cjyXQ5od2sylgCx2w32SDOk+iEE40T7YfrNGutQrt/GfQmk4KEOedfZS9bpwEyjspF4zn0PbWgbn
TAOjcUiSdkT/KXG3JOzyaUi0rXeaFLD89Riuw9WYmfYj3OV+K4rW/mEoL8L8yauxS5ekO/Zd9sG6
xadaOGi9jdHPtY+jxpVPFc5ykCVqKD/kFeOSyNBclWnjfKU0DAs+jbh8j8o4ZoS/1pg8jVXdD1CO
TboE04kVhJcwxAVDMu3sIvQOkwNcfqyItGN5oV2oc0JoSLhd4hvhR/0zC2IKXHh9ntupfuBtzdBr
zWd/jIy1kwY+keeoQtC3a3XyGu4SVL9m3jfioNG9n3nxYQjK4htTtL/JzJnlQJWbpgtkQRKmMAWg
heSRDaF31HaYTcq7+4kSd4x2Ypytg9/bAcvH5cUzE7GZJydUK6Xq+DbJBp7svWl/LrNwxLvQ01k9
ChL3bJSddwcI18YGAfBIgDpeS9WMb3SXFSvHTrD0Z1XargY1fTAkUqVp2d0PnIPU0jj1si1ZiEDF
sexPFp2xd4uI/bth8pb7uXDKncjC7t5qmuqGrRNXA9Es6bpFNYTrAGBx25a1+cWr+mYjJy4I4AzK
jtbMiJbppDdWUnThD7zC5qHAn/xuk8YwNgtvrS2JgmwddfOAkT6MRgzBPPk9jPMr5Q3uhd1ICCzI
sHcShfYlrP3qxhud6FT6TXVfC3qRutrERjT70fwddHn35FAkmqyhZ0ab1pzZCkVI4+tgqt0Vpkrr
uDRwVddAxr/nOUWvYioR2xyrvExJheTDoH1einJ8yACAQIPyL/VgYUWmoTYKjhhL00tkCrQNq04+
Z+1gPSdtVl1U5dFgPLJ3Wxlu5D9Kf4K/4nXTsZyCWK7KQDLkR7F5BwIkfcv9sn4LvaK5pzUreK3S
IL7pp5ouVsbOF4EBmYx8meznZpi3AXI+jkbQRxvJ37bErWaZ3bFgQIcmovoX9GyctrFsi40R06rl
OthAazMy7+tW0QalvKA8FaPB5TFP4Zdi/82hCDZ6V1NKm9exGz/JiforZ4jc/TzlwOeol11OIhbu
h8X3x/MbFDG0smikVMj03+bFoRBWLhz0XmH2UCDDNt65MWULikvHc6BIFK8Mp6HRKQRkLjfeOJ37
umx2Laa94h+31n82HFsI+f9uOL79/rX50qZf/rz7xjWhv+hXosFhyS0lMg9xeMxV+o9+339Dvv6N
MgIeTR4IiWve4ddwTB2BaVs2TUCK/p4rtfqXW8v8b4Zh/F5/G4ZxeTFrEm7g1OKdquMSf46Fg9Ux
TI37ONv54g/RBRQTPSoYUmWdzMV5ULGcq/wY46//zgPQwzGMQfDZ8Rr32C5d8JTlXgBZll9fhzLd
O4sAMMtgUoWgpYgbW+DU4H7ZDWXAgMU+yTbPbxtP1ckG0GO/g3QR33Lbo1QanQmIx4BKhp7PBmt2
7NsuBMGF373emYOX36cpYNWOVe2jX7iUtuGKTV+beRxP0mAdB1HbLbBMjsFrb0aGtaq90n/MIi9/
bKzulfX5ciRPMGErV+G9WzvLoymy5nEK7WBn+/z6S9BNW2O0u1NaMRVO2p05aJ+mvFo28fRmz732
cSrt6Iyv5k6pfZ61dny6yo3eMGH3cLG0I9QO8Yb6kWL6u/pFJzfZDqbERGqwnT032lnqYTGFacre
nQEU46nUHlRTu1EL7Us1Maim09TQ9Ktdq6b2r9YxkEj6TXG1EiBkBKj5N3zJtOvVG4doRyfTcmpy
yYou0v7YTDtlkyLFm5Vo/yxbNTKTWGopA0x25K5geWq/bYvMcjDHknGCspVzoX250dWi22m3Lk/G
fpdOoK9gVlp3Hi2mh1n7e1VtjmceiPPBE679hW1aeUp80T25V3Nwrn3CMEgofcZL4B1z7SNetKO4
FsrYFEFWPBidaT912nlsaw/yDOD12dK+ZFc7lPPWMW5hae1Cx+w+8VphZMab7PPIxd1sEwXYCe14
LrT3edQuaIZCY0vWYPpWj217J7qqPCfaN+1fLdTJ1U7ta2c1/fSYrOsGQ8vKuJqvJ+3DltqRXVzN
2a72ac/asZ2bJU2IhCLYosovgzV4N4V2eGOqqm5lI8J1r/3fhoUTPNKe8OlqDx+0U7zSnvEsxD3O
EZp9T7SjnDg/3nLtMk+dpGIPpr3nVHni1QiulvT6ak/3tFO9iF2FeId7HfQ0Am4eJJvEyJxPMY6R
N5hj0xmnsAm9FQ98rADSrMqqHh4aYtTvdcZlZWVk1XRDHUj4TATdufNqueLaFO6HQRX3sdl2j5Z2
nKSO3eFTHxbq7oQolLYH6BxMNzkbF0IquUPqpMl/kMY70k8aHPEVQgmaOZxXXg0piX1xzS2XXF7+
ymOkYq7JlkNBUHA79LmzjQHhXVCPodsSKarWjFvetonm+i4P8/CuiaS1cWvX/gx7g80xn+3prQ0i
RVzE6+cn101tQtx4crZLIqID82V+6pehKPCSqzEgXFo7w66omMKTwBaCBueCoJ+ReuEra7i6WikX
x85a1nXAkySuFiJA5bcMz5qeUfPpYi8q55RPnRhFfx6M13BoW3+b4J8MWBmE08aORVKulwTk7Q4h
b6FVHbnmwcpM8dZA3iWXw32gqneZWzrmdBEUPEzsuuww7ydrx2TCNn2NVAOjAo9C35pPAV2Ps/sS
qrzqHtmMkoWkdYVP+2mprNZY1p2X5BMrt8FKx6cmmULvQ8Jl4z4XASAZnZd8SMZabb2KmOrOIAiS
fJtZc4h0D+KlaTi42Pz8I4L/PyI4y2rtwfzXS7Lb7+P/XL5P8cdf6gJ//7I/9mT6VKcTELyEyVbL
RNP+YxJgG0bPF1q3xd7rz/lGW+lRwEbsZuuGrfpP+UZb/IZeSBeLTSjStPB1/zejgfM30ynaNz8e
eys2cLYazt/toDVLlGUMWVc3FrLdF8klHreQVB1iUuTjDiQF1oD4xW5btrlxLC2ahqDcOIqAwhib
WKDa+Vtj0/O3NszKWU98jpabCanre91kCqeRAgtZH4oudNkrrNByZvlk8HT1+pAAkWVxL85UwcMO
wxHPwG26LAktf2ZsdEjMJfKwva3cDmjAk32tBnTHoTPfs5+dgYtkIb1uotKkTZBKsXE96Y5BCxFB
Fw6GC+GX6OwOPA68p8hSSzmSLvSwMmwF7alYRZOCBqXnFvuB2Hqcapn5FteqW/p9UaEM5OvWzAvz
JgaBQ7+qWX+QRWt2qq5mqA6s0tfLPCZ8qTsby+eKVGX8s+Hjnw/g//MBZITW1Xf/+gP4VALn/J/N
F8i1fxnGf//CX8O4+xvcG5qS6A78tXT+4yPIMO5KhHHHlwqNi0/nr2nc+c2XfNI8Uhe/55J/DePW
b7isLN631IKx4uaL/tYv+O/6BkFt/W0493VGQ5uIMaSw+xZ/cxD7JpSQIKiNGynF8MBHNd8uksRb
rrNvSqfgTFTwR/uajNMZOaHTcsCfsGukJOhmnaWzW96oou68Q4pJ2sF3QXluofN3ihFnmxLJCyv7
ADcdZpBO64FkfB2J7406x0cYyFtTxA5U95ry03k/Xyf/2msIsIZB8YRvNlpVlcX7ncPtVo5D+1zg
JQNC18kNok72zSReCBfghdrdH3bFDVsF/QMk1u4xKV3dG0yXMFXnJBUJN/ansvKwVapoYOWqM42D
TjcmGSPzPLrqmIekmhKdgpQ6D9m1JCNZfC4uLhXTvEXeJTo56hTlcA1Uqmu4EnbFfFh04tLU2cvK
qZ2z2XiHLLMeK53PtHVSk4XvDUUBOaBEUpyItcxDOtlZ116w63TakzdMuQWM0WB/JgsKLm8N8ZCO
4KLLbxadGFWOoU65TpEGOk/aS1XtJiucisN0DZw6OnuaEkKtnaLeAAx6JdpqvYy54wKsUMN7odOr
II78jTnbZXBbNTODLWpnDAGIlmNh3gxFYC9PpG9Tnj3xWHrGR5pNSJUwxHoDFL3bJnjKC6SHtekA
1lyxkagxzLGPeKztwrv1Qx+c5OjR2Y13BHztPrdaKtCVw/0IWy6TqZDqbsp1XlR1cOfn2MhxfXtL
aw+rLqQhFieDuU7EFKdb2ExwxIjx5biPcHfcGjPiibExsDmFy76smqVp2M1nsRFliO+AMZwV36hV
oC+GqViKE2agzm3eSytwIEGA3MBAC9PQ4LJDU1KTjA9Bl+b7gjijCjFILMMw7nyQlf2yl0vVdI/+
zwmKxnfGKWO4zlYM3zDm6OS4zl2IptcxLP05lQHCnJnRqJtgYBN6div1FAfbhIFuvg531nXQS/XM
F1/HP6PXoyBeDuM1ug6I1nVYBHEzXdLrCFn49TcHLsayKdmNPRZZxE2YGz+DZ5JW0WvwcxxNZkus
kYpolB9Gd0B118MrzoayWAkSQqdZT7elnnPjBfDwetTTb3MdhG09E6fX8RjZyv5c65mZspDwrtZz
tKsn6k7P1u51zOYXMC9A8wGn6CkcjMpyiPVk7rYNKd3ruK6uo7u8jvEUg0E+1bN9pKd8r1IM/M51
+A/1PUAYoluQh7kddNeLQnK9NNDjRZZD3yR6faeo9e1Ccc2IxODc+SQPnoPrHeR6Han1zeSfifQ/
km2JbqGz/usD8S7NvkRl/pfD0Pr5Rb8OQ0laUKCpMaZqtIXPQPjHYahHVZceamVdB0v+6PfD8DqP
4iLRQ6o2hv5+ElKg6QqHACEKA+chkaL/5iRk4vzrSSiAbSiSTz7WO0vYJLz+uqZqhtQrJlfUJ9lB
9rFltoPm3O2IrHlkQYoIz5IfGgUYqWhhTmzc3niJeNQxP7oWgttk0N1ARUMOGnZv9CwGnlE8shsi
A3Fy31H58nloYvXuwFA6RSLMbroxsaCQkxmsUdryE0GCdOemPjvwIcEsX9VG+U7eorwMMzVR+3wW
e5prBsLuMLp2UOoa/32IceocUIpDHmD17H4axqn37mfMoWBU4+icWCXztM0QWqzBS3rxl6Ezok8c
mW1Ox29JXqdCrXLPnWOS394ZWW7KdW/iLJ9W+RiDgr7NIuR0tSNss1S3kIj560ZT2wAeKeZEBgf4
xuxBiNzXuk6tYOBHuOOx5FsO6pgmJnjQf/CEBRmvJ/Fy2g050wKSguOmZzcgqOQIhPkxjuCbFo7D
2MFnnyJrMiMXSUmpdv6zYdu91m1ju4YVN/3s4Y68pZZiw3qDiHPqDmFBIwo344g1gpfQmpt8WwKS
LOTCu5wwIZGSkhW+stiS7a10CppblXfG0RzZ3+NZCrC6GvZqHCTzeRsVWJKMYR86lfWUGm4fr+zW
XIiCFeODwBy2c30N7aySdIvcShNOOkebuGzrHevE9IyaZO/LVuZHsmb9Pi0Gjsi6oJIDk3x/9IZp
rfoo3eV5UW5sNwrvHIuqjyHKpo3L1RuNwLEJJxFnahc/eGjyMX/DUd/RCBTAZSNuXt3BfH5Jyzx8
gA/Z3o/RoB5Qh4b3KPemDT6y4NRU0fTA+6HczQBMX0GdBhDdyxlBiXayNSR74gDKCjajiNWtD+z7
NcKBeJgi1wBTGkzdqm0MfwcfzT4HJMD2BsjsZSNQk+dXbMAOA1fmvtSuKJ7QqlPyaEEELMVJOP3p
VGrUtC7nZTkWjeXCBO1wMPfUeRxHGkH2Y5aGr3ZV2jf+ghRHSbQzPktfgO3yoE4mmi+e/cBA5bLe
UAubp7Ak35paJdFWrrj3DcfXEbwyFcz4NZkObHTSSZ3FDBFvBZo703VY/XDXh6F1I6apPEjJ+NUl
M//WPV2KD1HmFq8N6R5iS6r6SqDmTdTNsO4yzzvxL011UmXLNf1J3mWZs+mBiFR0KuTUPIfkAj8B
yAAq7o+T9ZGUjXljwIKDnV/b6jTCSd/JpPquUccH4Zj1FlF44V9QJYDVvf4ThIvsbU6X+M0eu1gb
Rbz0reYOjMmBT5hrdM3exBG59dXY7eIK80LJ9AcHL9sjPs93hV84p3FqffoQ5hR/BV9r3ImECWdx
uNSuEAvi+yJIphOu2qlZl4yUvIvxREaON2WruDPajTTqeVuOfbUeA7a+vC4dUmUWrUPDZJ5tx1NJ
VeAGgdN6lcqw7zqjeYmX5impDPVtcjC+wKHRvAmHvIqztqoleVZNIm9yFsi0Schq5SYtiOc4PPqy
VZd5bGo+Gn37RCE2QPzGLD/cniVZRUnXvR34y9d6xEe5EobGaORjhbAfypcwks7arTNUgDHHIg8+
O7xIS/TvncPGF0EVYAh+syUVAvLB1IDCq8IvLRyJ79nItb0d6rPVB+PWccdpA7kfqRTo5cGmwsOD
/jPOZ2uCmy5Tl0Rd11kGnzgZmbeYEY1dUwoDwzktOw9p0rb1GjKmD0JsErdDGxMPzALuQmTWxmQ6
WCw2H8tRth6tRKP9NHSB9zUdCdyu+ri3YJlj/9hC5cTLDaUHIb9wvvROU974mp66otoFfxo6MXBZ
UQSkswAnrIDUsOL0hXiehdHe0hFFTiXs7XFDZFQDIOPoCCgR0301U+ZjEBO/bWP6n/zRKdedOX3U
nHmPYnTnYwi4d803BSqSECB1kCaI1sjpbHRWvPa9ijUgVPEfpSG/xVVtwYAfWiThmhUmVS/busEp
EueoqUj73gUjfnpG8XSTVbJ8RKZVIyBkJaGZ6aU0mydmX5NeniaivQ/CZEyT8C4WwqE8bfEfasro
tga1JpStt2N7CI3oNkuHcCf7ONg0RSNYkjhyn7Cr3/F5/0iWwnusrXZcR3VWPocKwycdT9VpTNJ8
25ApzS5Oye7caYsB+5kZHoxxwino5m63l3hfHnjnEjk1/fE+hsHzrZ5aw1xZGLoZe6T3GrqBPPEb
zhsLmwGh1YoIUJY6+X0eGM4uA6F5FGgDa7M14QK2Znw2GmR+tyjKfdcDvJX91L0juUebzGP4HlT6
uWvF16SuMKlzPJ6HMQ9ZaLdjdE8ECSNiW1JclxNKne2p/SEQZ7a9mPunBG/AdpA0zVOwmu6kV3ob
xK/gKSY1fkt3RLcffXIRVPc2d0OY2GIL0RT1VhKgWxtNZBzH/qaJZbR2ivFrQ3vf53oa+104QufJ
cZHSAIAAzWPvc+Rl35s0bo9cBhSVOClcWYf/R+2dTzOh4xLs7cwjhR9yM8TC2lldLCAPGcmHDwKG
Z2dk7DunwDPQBtlDApj5ZLVJvKu6pD72DCRbOLL+gYBJu1MTkxeOTmfPNmC4ifOSlsBswuTcCcPg
orrQ/0B4b2urtvjonJEeJ5k9x30o1v0cuYeRDNg6di6ARatDIck3IH9Yu1I4H7VZPfS9R50SyhZp
Tq6LZB/xqxmfBALkKqKpbhenC4SrDGdHapa3qmoelNnu/RaK4phjqUNt32D/fvQM+IRJCSytwBq3
qqG3rdy4sCjtiCiEyMIdPVoXG+QY10VisJnb+wduPeFmsfMHSrTu5yaOdmR96OYtDRT+bH7wSbSQ
W0mzfYuUtOkW1CYZlt7KIU2xL1hQ8BBW9p3RTQBYfEM9U8MUH5YkoH/IEd/rwDW2KCTwhfI+X1lx
5XCQpRHngd0/jJYA8ZPP9VYZvP3K1ji401A8uAaeGb/DbjU4vVjDEOuPU974B9QjHO+QkU95Nz9k
sfNZBurln7vUf3SX4ibzb+9S90TctMXuSxH/9T718wt/v08p+Zvr6ygbwzcxsmuc7ff7lGf+huNb
sNSDiK+RLX/ywcLkd33XM7HQ/ryG/d+dyv9NsQ90wZkLeC/auPrfbBevpcF/SbrBY0FJIAKrSb+Y
vf56p8pyu13yypwPbOzTedOLMmZOz7RjMcCng5E+AZuKb6fJd2Pn4g9jPQQFV3f97Jaa3T8MPNNg
IdV2mbOJMDwQcCcdumn8j4pTlAoqd77hYmRuZMzZu1rot2XyNFr6KsUsMSVlNFMYdkv/kVrmCiA4
Fw1r2yTRstcnIgPf3LAFqaNb2g1MPh3L8hJYhg0vNyO51fhk7CnryeunkBrU4mDWfu1txGQqSmOA
aq1TUUbJqnRt4vY8bmhn7KeAGtPiEKsl/m4IEX6M8HcvE1/zyZnprOTW58tzBFIxWQnVmtSi2jT5
rHoKDLalMTr3vscFccAvcBeXUXcZxtbYiyBZ1oHJo2VVdsO09Ubui4kiO8i5hj1z4hm+MhqytRm3
UGYlwKTUqjv2i9fwMgtDkdqjO8A8FW7Ybws4MwfLqkPyBbzyMpbiRC9jft/RR7zr3CV/AHBS3ie9
19xFgSctqDeYFrk/V+vEg+aajpHaAfSiXg8E5KWA6GVuZ+UyODYpg9+6cMw3NKbuTKfYJ4hl3ZNo
W7r+PHaq2cYykrBa5b2X7gsCvK9TlloUbtnePqfuaCJDEQQXWabE0GyTC6BudXGcoX1EWfWIsriB
c7Kxr/1oKVTaylw8quEe1HOxaUlbUyho3su+j8t1W1r2LSNS/65vAy9Nbk93Q5s4a+iNW6OFikgU
Doda1OV7m5D9yc90zJc28QfMAPKSSust5uqxSQnc0+vWz7sCLsXT3Dv11jWc/ADaCjuG6NYpdofH
oK/Nu95o1SaY5HgM3XKfJra3zSWxkqg36VkkkBTT11MGh8QPHFapOT2H4/gBe9PYlVIGJWJ4Jh55
k8OpRfzFCiNyQk0+FjcqtfAYWnLjFs5DybttLZR/Ay0ADplXw6+I2k9Ljhd2mZQBm8AVeLk9fss2
ctZhHwZYxEV8yobI+CSVCo+ArOtHJ6uqy4xYcVKeJhga0Qz6YxrWmWyiW3uoed/wth1Xkztb+2qO
Ana/EUtzU3I9r1zqHigXnx7nsXOAC8SyJPwi8zkULx5Z+XiHhXekzNYRi3R7iAhRGHmPOKsxrMJT
8L3+ybJSZ3xyWm1rWpGyi8SrwM6bbE0niWl4M9VD50VB9DbJBaYAIcPM3hV+CaQlc+OZnz/Et0RA
rDefu6S5yhLB/Y3SAsDcUpSGAxnfLpLjqJVEIMVLwt8mIc9Z7EmnN8PTEMdyfOrSuGe8C0OQjLcp
ZKLkPU27Zik2wDYL9t+R0zKVVa6/bIbWmniy9XEYvuciDgFpREJ33hplzttzLGdWofMiQuSNeOKv
74GaxC+TFPSX1jk5thC8jyffKS0auw+V+iJ133mN/H5YUQ5VnmLYLNx3iwBUCf9xgxQ4XknQa8VW
ugueCwKimIFqMrVrq2u4wlsGbqJ/Tur/5KS2kfPYOf7rrefz9+lL+2cz3u9f8WvlqWHB5MGgneGs
+ymm/7HydH9zqX2ggAAYkT6+/2/liWrou/wRNCbYRZZuHflf9s5sN3Ik27K/0ujnZsE4kxfoF6fP
moeQQvFCSKEMzqTROBn59b3oUXm7Mio761Y/XxSQKERmyF3uNLNj5+y99t/bnpb7N7R7YKHQgAYY
aZjp/xtHNDK8X+R5KL7gMAQwjnG902W1UAv+ozxP9DS32gab1tRa6nU0HH+Dp/R7oKFyLqZBo4JM
CgzZTUGqcXDTdXL86o15+yQb46kVqjsPJGEjg1stec1gnOaYUKvD2OQp0PrWeB98v9mEXiPaoxPE
Po0IlwTnexTvs40zMCvwsQK/Mf0Tpo7AuoV9IZovXdlaAxCvYmnsgyx69iYaQcJnfj5OCxp0+qR9
5WxioLjOfkGL7I+0DJRqv5QB9HYNQbUqzXMaag+RHr3Ifuenglz6tHQsee5B7RAKsErWcLhrnPbM
Wyp8JWe/meltzDBe6Zw0Juk0vRNrDi3Lx7TAeeJChynmzM+f8bMaLFPTB1+/TRu3ec/rOPhMvBzT
8GJ1umvRHDWoscCIrx5MWl1o9nreQncodGNdgQBbumiAi3QV58BXkIn7brcfBeL9HcjHOdiCyTpi
h5Fvus76alPWdn/MDR3sJsAYb7CrHHTrJEYSqvEEUhmDhx7ym9aqm2NuTS/5mjmZ02sG+xMmR6at
aMvaKklfwfPiX53H7OQH+qZx1FW6Blp2SVVHNH7u7UvSZT0SejmSftnreNqoYXojZ6mLLJI+Cm2f
8Mi86LHHqxMSoAk27SPJcJLYcTE8obJAz7EYBJjykRp23WxcX06HzqduCMjopB3/CMnthSKNnBBC
PJc1zjMskls8yD4t3/6tWYM/x6Y+Fn0m6RrZW70QotOx+15JZqp7rCL3aVKRNGkVL5IYvO2wxowW
1fgbVzLvpvKW+H4K6bdyMzdwhQOoIT5xW8xDcXBGx9xomDcWpdx2HGnGJrRaiFgZ0+t4KNVN0AOY
gf8qQMRm2b7Wi7sZjAQ8QtcGHzRvxkM1utlHkLY01tCi72TrGsy7Z4fGdfIbqdPNnWugY1+zWkFQ
lQcmvHgUM5kd64JO6JAJb2M3M5bcmgzYniH8iX0h3SvcXnvEqU7kErt3GImRxfBRnfo1XZZeLXqW
hHgHtPDZB/DqJhrdusKaw00fJEyHZ9kmLWANr3XXGFtXQOOmCso2gaWfTZfAW4w/LwYJuMsahVt1
st24vfFKvrEgmELn57R1w4iYwuwHYU7q27Cg8TR7BowYy7Fdtp6DFUQU19VYAKr2elb8oIKW6cli
/GiYedBgDCgKCPoJRLJVOUHq0Vxp42gVYgAZDCXpqXQKZoQCTNOmjVV2KwPLIyWD4WKMh6ljZDrk
GDCxo/bCXJID5g3rXA+JqmiM9LwaDxat1JjTc1jjjUU8jvf5mns8jjwWSTgShhxoPX+2kk11l/jE
JuMMqY9WP80TfS4eLR0Zs0foQcu7LbgdT/0PsyXonFCBWO49PQzpD6aWIWttCttl44hWTrdW4HZv
HTZwkKipAy3IHCtxldZhdWBwIulGGdZBWNy32wI025x7Bz9t2CUAxkSNSLiv2+OwQYkLz0q2hIuH
S3mgtCTrJFi+alD2L6jv9W2ZG+8sqVdryQRxtziwqhaSttE6t7kAjaRKK7+qjewTp43aZpbMXiqV
03Dz0GLeWMzeuRQNCxhyszLvCXX5QuOUyIQwtNdotLI5myGzLt8er1HEykfU3MZTQXsWepZLFlkR
tquNndCeIUlZxvS4Mfg1td7P5SxuvHhuCFjuu23S9/1t2aUNKsys3jdIvyFwsGppYnsPuJ9sImlc
9M9tmR78crxntJQx6O6OkynSlbBLJ6INlmAzx179MNnzWz007tEZq/C7sroHH8fuxB3QHo920H/1
Lv0OgcrAsseTU5oBAyd8mZvelP2PmEp6lxu9cUWpnu6DtcNSiyXcEZ6UbVB8rY0ak/0gmMneDoq7
xRDjzZyFOT30Af1YTatFd4gwR98advRbkgNke70RkxVE+MjJRTLVAWSuYg/ub8KBXWuxSfpdGYuR
AB106gvc4d6k3E1iTo9DsFhk4pJb0qztKX43eJhaH8gFD09KjHHUcLVEOxpW3+e11SUMu4+Gtf2F
h5yq/NITQ7rXPTNWxB0UcK9unTLcdn174lrJGNCQP3Trf6nwAYJJp68nOklazozY3CDQawdHLN0P
Q6XPRtF+jsVyU/Yxueh6TQSZ3Bb8hV/fWVQmNMD5Ymsx53vCScRpWRt+xtr6a2VdbBgpkhAJrn1D
FDFy3iIHp1AV7Het921ZW4j12kxMi/6b1RTFFUkZXD0Q6m5ie5rpSudA2MqxO3RrL3Iqih+DV4Z7
LZdvieSnFpeuJRCm+CZuzJj7Z87WX4TJx8rGjETZq3ug4HGUro3PyQlGDneu+55I3uj5/SBG/jfi
gMhtcSkYRu28VgSS4Jnp2pcy4EctihGfpDH7Qw2OFeVdzriNTXTjr13Yxi3zh9Bq5Elc+rNkiQI6
KL4NFYEfbKYNu3Y2vgYzuEGnt58IvmJul6BKznXAvu5l5Ye19oSrtTs8OJW3z0d/jujd1fsuX6pr
y7SmXT8vTjTa80eXxkQW0p3ZTCHvAZ9osRM0G146YS33hd3By1spJcSA+1hK+cAkb38E3PXGsi/6
m36qg+fWd/m7tkDFMZBwUOopguuZPAxdOd27mBjf/Nx7wgQ9RcxIbkly74426eF2pNOcvMMu5oNO
s9T5QroJgkbXU8wfgp2zxJ5FI8ZPVuH2xMBl7f1nJC6YUdJYnyT21i6Zc0Wxts2bu9Fc+iOQc//o
azf4hvlQvA3MHHIZ93eLsA18CmM6HnPZ23cuAfY7c8nx/DpCIhNzyf0OAbZAvXFdnghRPbZB6MLp
p8EesWuSrxtb0opcp4Mnrmws0SzUhO8U+0uzmX3lHVAluyyZ2uubo+oIFYyYtZCLl9hPMsM0huLo
Gghr/hVXgvhAO34upzRe4KulSdQm9iecMvep9jLrO2MyBs5cXNGKG3SaTvIyk8oK/HBbjSnyu1in
V/Iyx1onWvE62+KCXRJR690z87+KG7/3tyPHgT6axoKZdPRG/5P4hCpKrc6/C3s3e3Wlcm7MIXO3
DHpLsg5tGclGLuVWtX61a3q7eVS2Ax575qO41YVF1rqIG8avvRxoMKugr7ZQZZgIrrPBxFT5Pl5n
hitPZSd5X4ce+dohh/VRHdbA8ld2s+KVI274CoZfPAFbwqeb+9lJuBMVb9x6Z4KlsbBnRhcXKyi8
fEnIcZ6vRmMGQrOA3wsNiwWRiqnYSSRDZ4AxZOZW2rwkKMgtY3mBgJUxa7/o/lUEy/BJQON4DLqG
3kWe93cOGY5fSD9UBeuvyfutTS+jqFyu6lRXy0uocIfmXB+6iYErO2zEPWkIt0sobY9uHRknxBWw
Hq4QVVYAjdZ59ISf3vuaFOusegTYTPUzOCELUTHRnpWHTI4IIg+MSZG+jf5Eg7Hxh6dyqUnWZPhv
3KAJzN7iyq33oKwqZ1stujwxuRbbPMiTYOM44Ds3wOarVxHr+AHxLyq8iu1VVeHTVFEbE2wwfNTr
gN9I/Xzv9UtypS4SgIsaoK/G6tlMaZuRNGkdplU2kK8CAgJg0m2TtGUkjaXsNq7CBDytwoPScZXa
ugvav3xEGjfm5nBd1cvAkCevjwM4w3tL2vH8GPi5au40wV7uNky0AEAQwTi2KBYqmYZzhx3hpxCa
cjNbddGF307OU/N3zfQwI4VTHX2qtAo3qLFRWJfaMSLUf+YOQUittnaXso/qgAFtgxTk2Kee+2oF
zCG2CLylf6QdKM0PmtLxVsB3Sa6zcY0Z4BFW+c4KkmlLrvMoowJ5GrsPrMBrVCryONAzetQtsWCV
CSlgcb10O/Zk1beTkifFM7kdeju7JrEti2Jr8H8Qluh8FzXkQwADqs8PupLPXRHG2ZtpOkNUOeF0
07MeNwHpT6vbJAh+Q5CXHD1sIwaiOCzBLQynF5pDYkf8yeLs6M0S0gE6511QWF9N8Ik2Jffjxpfi
0PBjz4vV9g9SZhKzt1M9TpPp4qjIpsiqCGZ0U5POj5lWNsBZJuq06qgOCCU76AJsgFJ5c+s4Lcwp
3uOXjiqSNC2S1ZfazHcJZx3FOXN5bRHoSb75iZAWwk64uD8ikQz3qhDWu+to51gVityfgmk53Mpg
49M8PmSJPRI7BuLYziqPr7dLp48yRNLC7PzO1gSjChJbRt4JEiJBOoFlzcfWLFtKqSG5LrjS6g1U
iGnHc9PuZajdXTuT20WWIzggJAbpboqrdBeWHOMxWa/fkO7KDSHO1dHISBc1Jk6SevJqLNZl3yHW
N4ixzG17j4+WSWfoG3dk/syPckqPgy7KG11gKXWT2lZU4Ea5K+c0/U1Kz7mJY0JPt7JNjjHJYE7R
sfEPOH1n0i+jRRH2qdAZc+hM80Pai/B21AkYB7xNx8LLXEI+BBtm19BYE+Z9ALdh03UgaqNhVQf4
dY52AGwshV0b3BaQlCNANsXOLGNws7Rf3y5YJnvqaigVWVq9GbJ7Q+MBEgx6k+NqEyu7HD8F6NNj
kInlNFcrbZqL50r86XEQkqeISsim++An3tZbynfMmukORDKBHLX+KgMuEQkxZ0v7CS34K4lv6/NG
43gHQbggfMy2dwx4rE2ZhTG58x24LAQ9EKCFF1EzX8LRdF7uMFZEQ+Jo+CAAvnhaOv9gCjKCLQUI
qCRH/Z7+gxDbAZ93sBulGG+7nno7F7DP2rX9o4NOksfeljsiVoBf54H4bSKHfZ/3+XjExTBsJ6O1
GO2isoUo/b1PdX/2ATRsIED7Z/pa2zSdJQJPr+UANoqz5VcjIDvC/JKs/eC+Rik219m8dZa8OsGo
GIsoGbv5lQkPOejjdGPjRXuhlHrOjBZQger9q9SzoRjqhcKxSU/xtLSI0gZDbetx+Baa7c1EWNMm
za2X2mDLy0cHOqingmhy7eA11XTT7VbVWyQcIwyu2H2G2oJjeimsq3pOrzOjfuulj/+wS5/gEv+A
DE/9N1Md1Ymsn9LGeoMsVZ7ssXY+SRRRW5EoeyuN6kXDP/8hZYVIOqkDqB50PSi+tSQOb/Gqx2Du
ibdpEmgAvQzib6MYihGU/IhPPpynxxbJSsP8ncyjAw2Iae92DpHQeVWZ3HE08/HBDh+JLQZ4Im0X
WFmOZGnYBCrtDVYCYTWiUGcL6ey0ZInmqhNv+aqkfwPlVd6NnkOTwKRHvQEenJkbz0IftYPqanY7
bK3y1mKad+L/8K+KOvhhJdYjBGQ2jyBLL+ze8+xyuJqEAseFhOOIAROPGQwQ5EKAnN1Sn5fML1jq
5oviSIoId0S3Yq29QFkn0RwOQBBMD6a621PloXs+WC6VcNJZbAmeVuN0zJvhCPT1WxIsZ80DDyJH
ilORGDdx2FHrlMxf0H+cpYlSEx+tv/MLrzxLl/YfQ/kuqin1ETloK4ph5KhkfAjz7lNUGU98PLu7
UJM+46y2zoqYI+KXrY2PtfXA3YUG4lIZd1gUXhGpd1d9TC7JpLwsSkqCdFNB7n3WVOZR51zOlDt0
J2xGgs5FT9BV4X7KKQ4fBkPQhotRKqTN/K2ASkGPfrb3qNqzTd7bH7E7mk9TANXX00ihIvSK029u
549P7H2oCjwMT74gZEm1NKMEngpQts5NqQKDPkuWMcoURXEMvfrG6csuItzHGbZWRnbCzif8hiQs
kRKmyPlohgus7myW753ZNNAlHPKjCuad35FbQI8058J4b7xK3fmihP/BgacQ2/n6GBS5QojPFYk5
dJ5udZacleEkO7ua5w/qLJZWIqt3oCzBXTPZ8Q1I5uG7kXk/EsXMbRNiWzq3tKEfFo0xws38qY5k
JiYgke5wD0vIWW6VDkhEmvyqOdAFrVBX9UB/0HV5BHllpo9RN9NbaWU1uEdmuajgMI04IjZuIae4
TEE5DIjvGZ/nxP1CheA+tXHS7JN27o+sg3nnqc7kchW8TAEGdJnW1lNCnE9EFutdYHbxe6XXQIwq
DpioWfAvSy7pxtVkUdRcQ4uDUw3t/ooaotf7xFNNpID2DGenZv/ZeD2j4kMST3ptEpXpZqIXRk1T
MX+rudxQ3k0NLjXGl+pFSae9wvERoBFryFRH3UWPb5Y5kV3sC28eyA/7dspc8TzyA7xtgEH2dShA
krGMCbO0aVBDnIO1fmMPcrj2VyEd1MYJ9U9bZ2hwpFRbDqxw06shoWJiMLcxrZ7BmerXSohd5o3E
S/8b872ApT3k/VEGxLS1hm4pWgFb1ZvEKMcIE5N+cgfZ03wShfQAkIqAb8IIX0ijTT7dFEke+P8Y
AwM9tflxLkZdRDYLbbe0q9DK77h4a5BRESVoJbejLX8wjqx3jAgeZoOyfmHqd5aFRwqQHKYD6UDt
g05G6zVfXTlb11nHn8o177u2Ia6vbMfgsSPLiIoXyOF9iQ721UAEcLbTlr4MrIHgRs1G/1pIQ9yC
yJ4PlgzMkMtrZz+AwfQfQ4CU1UYxc70yjNT6mMusOPddMDKItGmGku7MKm3ISWOw6gboezBmo+11
8b1E/uRwYg2gB/HNqzDJb+nw95wnobLLKzJZZpch+uTyTVeganqVQHUpuvsl6YDZwZOzdswo9bNY
/OScA+yM8HDMP0pZmW9AgCjUFg/WHZ0OdZuGYZYQLpG1r4MHvmUyOHUTYqs47Kdmy2Un24mkyw/S
mAJBPEB1pWLtr+Cifich9l1LE8EJlb0prhtciF96Mro0u2xWbVODsDtPOTHbSW88yKKVty7s22OF
Sn3XjYs8gKd3IlvibUZfMPU3AcqOr3RvDQ6xST4L6rtrgm2n/dBT/dPO9OnSGOnjnKJNCMJkpGnf
5LiVu+pm6MPvxmiCMTUrdK2p228N5qM34cjSsHMr3WWtfWpSM7hHj69P0+yOZ49Ihokk+RI1NLeO
gYoxot+szl0aDjdI04prEBkfdaDN3RjPqAKD+T2ZKyhDTsHNAGAT89e4olem5hcU2fHeJzp7Jy1o
iwYP+iEdZReNmKBORdfQs2mKerY2YbBsU1ubWw/YHMamhlpWLOotK5054qoApV1p8hh9sxvuA7+h
D2wSo7itXWssH7XLeHwGErPN3aIp6GeNxbXh48dyGd/QY8UHNjfp3iyCZRM2YKCKhT8X8UNn6/lu
6mv6wGPxEnbWV3sN+2Pou8scGys5eIiwRhkaJgw8Jkbp284oxbZG3LW3zMI5Tk6FAiJ/XALJVQEH
bhQOqNZJ+LlDAQvaM29fZdfm90hBQBhbRwqr/jAuzvjN0IxBLIRx5EGJvViokHVrQIMfOahxx79X
Yd4+TEP7MDQrNk405DhuzPUimJbGHQTtGZkKsQBtLaxrZzQ+HcMfbtZoiI1i/yddblE0ekLnaz+5
OOAqfT1KqU+qbF//e2z9XxpbO8i+/mps/aV/T/8wtf75F/4+tcYMgztckHIk8NhYFwv471Nrc3Wt
ClK3gMmEgXAYTf/uWrVI/KKLhKvuP8fVF/MOdvLVWur6DLrdf2dcfRGM/YOgTIALs21BcNBlUo2k
6o/DarKzcTDMwXwTMlYEWRVMcp73lTeFL1Xl2CcwJsVCDzaRV4xluk9znrODhhJ9P7e1OiqU5FcW
uy6ipgGSYmbqx3Se3Xt22W5Nc0GmEgegaSYBm+JICIsTTzgTZ11zdQlHkBxfqJSI2joOFWwYL5lG
DmFRxsZdWDGjOGMhpNMYWUiKgx+2hDI1HCfQiHo8QXYyibyLUbnmZxg87fgkRz7kJ6NufDpzDiE4
OwKEFBRVBo5UJGSVRoKX5ZiXzAiTyoKrmjgLnlZVOVU0TGV2G1dVShuPjSyaEIc815WVPi89UZj8
Ug1Z24PxMaVV9oy9nAJBVmkOR9u97TVdygVSxz5t4uE9NNGiqg7kB0gKuoskENpR2Ixz6UehXnyr
PufJmLkAMpaC8Q+pgmJsr/C0V7UJ+SXQt2lSjMZJA3eBiYeZcX4yZnNY6JUnRb5OWqRr+QcLOOKA
MFU0fXs0RRKbK+uVAXqhH5HeZupG6o4zt+DItaxqPP33jvBf2hEo57G8/b+FLK/vXQrgv2/qP+wL
P//a7/sCdNVwjaL73c/O4v99X7Ccv/k2epbLGv/PLWFlrjIpCgV/CSTVSkr93cnu/g0fGDJTtKnI
RE3e3b8hZGGH+QfiKpZ4eofoXdkYULFcwBR/ULEszdIiuBsYMY5ltUR1pocHHG69h5Gj7b79wwdz
/3O/+R/cnu+brO67//0/Vyvg/92FLi+GTxAChggdjy1tldR8f3/k0+M/Nv9X4upVGto7D6kxyzdi
m63nGVfyS5HRWecuLeQbchTnPRxzdfz/eGlboP2B1EXYyy8bYGYUpu7pOD6QxsBLh1iyduM8gUL2
yfp8timAEEcIhaekixGdbv765dcf/8ffHJ2QZYogDBgNm7++vGVnSY3X2X4osXow+zPGnjtHPyzy
nDXry2nyhf5FaJz1R2fm+nHzojwqDmeLR27HLx93Let4SNDxP7hWbWH7D+yThaqj3fvoR15kT2fT
yWxefDAH1R3Sfug/PUl8TYmHxI5aYn0OEpmsPnZ4MuLdsizOu8cIdXUgjsK8InKcZn+GEh/ogDTB
wWtUNvZPpN13/R/Jb82fPDWsjX/67Dw8T0i4OTv/KfwumAJ70H5qPZgD96ZiKJ2TLkH1QnvS5nOJ
7eRKF6QC/fU3tsq3fv3GEICjPuMsB/XyywPjGUimtKvMh9wczWc6tnDB/Tr9IXLNxctc9KPrSPOW
mS6yoDkluOmvX/+fF6Zvm8Gamig4QkBX/HGtjGFYgzrVJkYDTz9m64Kh9YOPaWzN279+KfNPHhQU
7aysQPCCuOz/+Frx7Pe1EIP54JAW+Ug6V13sMaVgnYptu/vUhQNRS3jr6hRVFUl/YrEYuU85QHzH
v/i6/+wXt+Hb2Gvlg3Lil1/cApkZtiIWDwNMhDZycEc219y+xbjJ6uJfJSv+2SLx4fGwLvkfDutf
pPamzGHW2KP1oDpujTQwyyUChN9cDb5orhCDODQqu4aWQ8ZTHpaLeVuNoaYRl5v47s18aa4Mb9SP
CfIM0BHCCq57csJ2Zk/1lKbAG/ipOauMizCRGiHi03L/L77AP9lefIvvTyC6hBcY/JIPmZdJPAQI
yR5iolva/eIrhfOR50b3lXxTqoJGTMn3hsExJPsPzxwGlTKLujlsj3KuCHXICodIwIX0eLU1Y9GR
Ni7041+/zz97m9TESDAd3qwrfnmbBn2BET+Y+eAuPh/I5WM2pZJvpojN55a81X/xZFMl/3EVI3jm
qYYhA64Fueivr1j1iZWLYu4eJmk3V25fue8xYxj+YROFdzEGKtuDcBRncQzHecxTwgmQfDxlwxqG
Yddz/2k3I0+6YAcQBosgsx02zvWZuHxEHacGSNUsDa+70W+uZqJQrw0jQ4zGVfl2mYfm6q8/Rn6D
X38tfhO+ZxwiDg6Rf/KHLEERwmWbk4eGLS3CRr2obe4b+R1xKvTsavQBE6HVI7NgyyU1jIgJTMXg
Dknr2JTrtSOataTczi2UMlXv78clMfpj6nV4mWqT6O4NiSSM9JFZIo0R6WR8oUGf9FvhN40iv4H8
scgJ/RTQjSVYGXk3wTOuUiDKyFlwLAL9e8CmnF4FXZVf46Brbsec7DJ0mQrjhoTc/tWc/eLObOby
uyg6c4uSkY6RhdkZYbse08/ZbWbv3M9pvc16zu+zCN3K3rR2Lu/huhJOwhQOgjEmOLF1/RQG5uj7
hnwZ6jKftnbs+09h2KZkxOVJ4W2UNbYj9XGi6BuQ+K4ir7eCj9agLRzVVdcXx4WIBnSvw+AA2WjB
qpziwHSurWRgnC7H+CwgMT7N02iig8AIrx5AUpqMuNy+dpF5WCRAVWki5T0s+pIhWOik8TbIuWkl
6cCxW/CM+GgoSR5v0M62VYqYlNIg3PlwO3h3jeu+I5ijTKgDdhtKQDbiUbKau2zmr80+3M5tbNNx
DfAGMsZDzu+vSOpi4GQ26QBJJqCD8OXZTkQ+3xBm2l6TmhmY+2RuqpQWbqaDE0re9HYswv47OZwe
ij8sLhhJc7UN7Sq5VZaj9iqkkdciop2EWL6aXZCdQSvqbUAd8DH3TUNPuu0OECLiPVep5huRFu5X
slPcTevJ9JMHRf+WDHHebxayTrdi4OshvLPHOZBId1uZ/hjxYF1CJONaawRshFxsgqb/dFqmcpqb
lnw23CArAOsEXeGciT0Pq2cftLQIeQDKufG3lV8FK+Nmdvy1RY0bI15ZqeiELJdWspMZJsFJM2LF
Cja5GcqvRjrCZqnCIqf/MrdzFewNsRY/C14M1Dh80rUxNlciCSiG2MGd9zaYyFlGDyRnRoZx+UUb
Hd/YHPccCsQODsjdQvYVWlLZIZt5KjdpYHKYOpAIuRWavnwLCVnilkgSI87xvDEiAehoO0HUlszH
GEiSeMKWnTkoj/wA4+Yye8577E4TpkJBvYqrnt2omtx3HS/hy2RZ3We3pM7JGzw2Hod9yHcqLukq
ZbLXskIDnGI2P35u3TX/k7nXFWVd/DJ4I6q/uWquirqwnluxKkYQZYXXfU8uEEJVH91Z6YRVsjXN
nj9JljWXkvgc89ZCO4gJ06c/tw9cPhxlcVIDlgU5t1Gpmd/SoWaLQXYVXCeg9K9Dv9GPlutxqP/M
eFz3SGq44Dom1vPKz1vFaDroPskV4KMMlWM+d/CjBgoO3m3FTD1n9Ojo+4ay08L0lc337aUWKUoG
c3c1U/xjkozm7bDwjYwOleFsTeYzkqpwZ1n5/DhkXDfsModWHZOJjb18jTVeq0ewpu67SdJthsib
tjwBh2P3iWhdPxI60H3S4mSMkeDXJbVzdN8vznOaLt2nLDlt2zBp3zBNU/3qrJsfL4XCUrT1fGae
7L1ba2jKSsh+Q3cdokgI8k+odT6fhU+2ZNOuvXZUMxHwS1JkEBg31zxGfHfW+m7rpuXg6Rp17GLe
kcgFRXjTtOHONQv5huKa03wuLEPtYgv+qYd/MN6MjYeAru0U7xxlPBUUVHGyIFpDMYS/FDjMT0Pg
fXn/+fPyQxAGH1oeMoos3dlBoIfWMWcOy4TyZsINhfvOdd5TnyToA8cOb1BamiiYwKinfEcTPv4o
jZQXry9LyCSWWO9HeiaUQZw8/VZND4EzgQ8MO74jiWsfOXH3GaIfV7vacdnboKzSkqL3cjBnXPps
A/bJ45u+BZfvn/h1miuEbN4jWjTkkzCreLfIZtVxmjhx0btTl2OMuBWIz1BDOgM/GQWhvneCfB5u
5IQxni59zB3Q9GDcbgiDDuwdbT3eTOzyAPfoMPinGYSI9DP/OS9guOz6VmQH8HM8I4gm3HcgBXym
mjkFV4B1EyhKGx9XVvOplMRVXXtwkk9tyAqT3vry1dQHUb6u+hKd7VvOOPEqTPhWKffbYxvbfKuZ
BfQfPfb6OUyUoGGdxS94yvS9nhPvHZka61XgVNxZGfL0beKy4pXqeCeXJ9HRuYnUJmMLcE1q9J2J
yBkgQNIm3X2oYwuufLN+QXnrsDVZTdweK0WeUYbAjJkX19FuxwiFosgK0DSDS0iqp1nk7jtAWfPZ
MgLuAHSyOZp0YD5PWOhhi1iMNTbs8yHZyFko37xEstBbc9L3l9+Qk4gaucPhQSgtsayXC+8yGfJt
gSr0DHwGkQJbt9hMXGmfh5Y/ZL7H19ILW98vmDbLnxXj5dicF8ETJUvDPtlByu++uDK8rq3AgHBm
EYg8DNxk1k9NyVGHuObMctmq9e2kHr9FkcXOu0QDZUd1Sl57WdQsq2XG4ODbi00aI5JoqFoJ2xHW
8ox5SMDumHYKqEzKI0/aHG3GxzSLPXs3jX57nDMXAYEbDqX7qBVMHJQ7Dl1VQwn3ndRTnhr+6/Cl
1oJrKwEjp6JtcFyQdDmVeDU8/jax5Fb7ZBJOwiMChgPp5PpcZfll79NWbhyaxGSTpxRJ1is5s2tS
EyueicsH8HMvWi/uY26xL6wbKzgFTpzLs8uckWNN91IdtZ/NH4pj6OHyfDooOQ45jYAD0E2nuPGH
gEckEIM6Om4xntNkJnPq5wOBYi/4IX2ET1GlRnU08hqCx5o9l3j0Ui5PhacLFgUaY/PWc2oWclub
t7m7dhuKzsBbCuDBBArl1uxEMD8NQMMWTQiFYXHBiM8vZEwVTx8D6jJSQBu6w0whpODsWOYt7kZw
eOvmQFp3A7iDXIYg8uOWE8a3Vn2U5KEZ8obdHhrwHd7b5YGbOg+1wL08RD2OJ9R+rC/oihAsmtjn
w0arsB7fpMARtYmijmYQBxAencSep4g5DptCk6gx3rdGELJdDeu7zYeeZWa3M6+Lf0U/VrOjvI3k
qga+babwc5k24fgYmTFOoBuNLS1lTNeKWmh5Gs0g08d+GGsSYdbsyxNsU/MWUTvvwg16XgFrEE+7
MONFPffuQBGSGEX4ItZMvhraEL+vH064di3/aQh0dWfZLsTTmEwLdBtHt2yRxit29qlI8h8JiuiN
bxH0aeP0AaLe2CxgGLCPxKRxIs0ZopuelmdIhTJ7L0U+8zlnki+0cfGQQenK7b2og3ncJG3TI+DS
cOilzG9spzPNiFOzOnGz18ea6dYcYZCtUaLbzY9Ql9QLnqXZDCky443qLDTSWne9OLfr5n9G5Ugj
krhjaqrBabjBlOTfGY1FF4aG1xC1ZTwZT0nOrDlSleSfLQkwy8Z2F31PB3DCUjCpI0Fk7EvtSI1T
rSVdmwb6sUh6KjymctGwjjQuF+Wi5CmY7JClGqYtBBqheHvx4tNsQsQ+bZll8E715TCJU/Ztuv//
h70zWW7bCMLwq6h8Jwv7cnCqUlppyYoSy3aSCwsmYRAkCJBYuD19vgEBmQAlOfbgwEoFRy6DQaOn
p6eX/09m9BS5mKSZuwB7WuzhKgWan4bOEA0qD4aBAqDWuwiCeQExhk1LrI09BIRnk97QzeLehW5g
DNYLV70PNqb7Se3lkM3s6FyjptYYcAbjvQoo/c0V1RJo6zzAWu2oqn5ccefz0m66UMw87Fw2zMsy
U6NFwt9cDF3nDloVstRDciWP642x+AsMyjUN8Ni9dMkSyiOUJxxSVtZLwOISvXfwFFI9e87ZbnKj
kYP1jZWlZLQfFKy4XBCQmrOle9fbexhLYiQ9duY5hU7GwLZ3ij3gwAbfR8b5hnLhIr2Gs7u4om+Q
rg8ny01PgVjqkc4mQnami1UizoNI7GmPbYP6eU4Sc4uNxQIe8nFCxJpieVsfAJjOetgFwhyULrOp
zL9aAUiiRMnmylUwm9vOpbXNtSvuPHmcpMXm42Zi7e4mlH99pLx7dpGxQrDOnHZ2V2yIoojKmlO0
uTUWvYcUnq8NJUBu7FzqqQ7wUGD2RsVCN8dTt9j5FPytaLTbZLjb64jkPZ3ct+oiU+5UnLLriODK
n6JNNKU6akgBy3IZT5eXywS+dlPfhPdgvjsXwdQKPwMfHnyw8PE358UcCtJZZirXW8fc3rv6Yvhx
AtbAKAGOjhrlWAkzPOXYDR52cY8Ta6QEa1UU39NOlLor63+Axn9FHaKDBULM+ZUMD2dichSN9M7+
P3V6p6QH0TVitSQpSOUSs6zTO6oqmEPwU54Qieusr0nWVxHMIYZtEOTVCfLUKR6l78KaTZDHIWUh
sr8/kuIREcxvkWzCXmSk6V8m8Uw2AKsqYmQHWRfgA9XQHC7X98V8HGQRtQZfDqTx3QD98Q1aofJ0
o0fzxYYbOFNabCBIKFwvXN2HLo7Jd6LyZdi78TAATApUFl2HpeU4hLhVMzUyI0N9PzVpoJsCg9HT
dMWicczRZkvz76xE3icz6+TEMhaagOZPOMkA1E/UaxnMx0QzBERtUABJ5trXwzQQCzAu/NBRMJh3
RVqy2BHu3g2irGS3c6bK9tYiMD183C7zq6lgw8uop3mYLhMo8rawicbw0QoGPUdPqS3VVlYP7DNg
lVzKsqL5cjL7sHS1YEXAyYiJEl4wCerJqJLX6PQttHepugg/bslr3EbDZUEzHAnkNVCVIcCPtzZw
mRcm9TL3jgrQw9+9hKw2ieI5TRm5lgIvJdLeFIssdrfTnJrBD2sO50Z8qa8CcDEW57Q60YVM32AK
x3X58v8zOOfVg1x4uXdZ5nt/L/x0+4efFRTM14lT8W2ZtHykKy8PwWX6wR+9PtDZoR0aJUWcixng
tDVSxqzOg3X3NKVyKq+NEHnMuBj7b9/oLqAJOhFvnRSruMBKipI4qL6GMgWT45Bsdg3sC9f+hgci
ekkIrz/fXpqv/6bxBN4Yg3oRZnkajvJDu6rSYURWoGGLyzkdS6E1xjcpGPA4GbA2mADllhfG/VAK
ltunCpuUt32qUsBiCeQKOSkA8+uYoNPr5Fme0QVb7Zs27UquYHYVF3sWNzwhXQBly2pXXvywLmh9
CnU1wLSIR4qrtSJss8+OrSCnShfYu05MCkD2MGk5XdD6+CS6bdiiAoILsR6uCHSBRJmik/w9tccn
daLKGgQQr6mjcam/wKMSV0sJwHyjAI30ILBv5XV6SmBjz2SVgJcMyZwLo8b+wt9sKYGJcwWzRmU2
91p3QgbBxo2WF4Jpm6oJiPpeFdorQaMYSwACanjJJ2YIBAK87OMrfQrHSJLq1UrA6Dd0AGBESAw5
w1Q6cnIOggOFkqQQ8JI4WLH11f4BpT8NIZh9w+JURvnNXgqnpwqKUVnqfRHVK77ii16S7vRdykaR
Qevprb6tgKv15COenBnQod+SNYaUV3Mcpi7Esp83hg4IoRRp6xRHltfp6QDMVtIrgVJS6kgps4JS
TFwtT9l2+2AiEqGwrL21PLmNUcV5k9YFrQ9iq0aJfGUUW3uCo/eJm+A9EUkpr5NbEfg1okxOykfU
nL7pmiwKvWUQHMGcBQCfJmJR4vqBx/8XzsPTGfx8Ekbj8vQd+tlz5++XflCfO4+/r86cg/HbN+Jw
3fihoDHb3/vb4fyXhrUsz0IHX9Zno/I+1d+rBzy+deNe9VPVH96EfuqlI3BAy2BDNc17b84Z/tfI
++I1yWBQS2T+bSZv3zTmefDivzNwi/6YHglca+lxYYhIYq8eSAgbTAPspfzAMy/OmiCRKlFM+ZHP
vSj8mqQtjGgTv7eDsZMoSb1xg12SgnMsp6w8ziHm8Ed5OCryejAh7L1XLDv4hR95ay/1D0fe+1rS
I1dhnrPk6xmh1mL+pQnNTV9EB1p4hdTDcVML91ZRdv7XfpIGzSlXu47syDdIPAwPJa5C9N2BpgzG
EEo1xgVGvAMTMqCKKE7CrDk0YfH6A2EVf846DeJx6LWsCIW77GqyUh4k66Za0H2HnyM77O2xbaKl
pQPjdMvMitFsW0+xNKg4KB0skrukAMy0LWaQ8DvQjfdeGDesRxXKlZXzey/dRl48PhSHtj//yA+d
Zd5oUmR+njd0GkJPEXOTHj8cTcLAawb5iTF1sMLfh+wF9FM3NJv2LUFXID/tDDabjHqNhm3SqKDv
aPSE9v96nqVzpuJ31h/8vA2BgCZvKbemAvUsP/K9/yWl8LYpbY3O+C6GXnnNfYvov8jRyr5GQXR9
480XGcyjjYVZZRe6GP+dn2b+tp5r+Sr3UaouBn+Zpbv0mn9eT4Rk/krSWWveItkgPe8khdz43EtB
XW7uZgAkivN6Nzc4Zk9meNG6JDv8b5Ow4TjQtNiFd/YaxaXky/wt9WGsq5+8VEGDdE79wc9rycN3
qGQk5/3HJBn7Z4PsaG/bh/plX+SHkmX7OUWsMird3OBYEcXwHfiDj0jfzzK/YbmAMBBxedmpv0g9
IPlKX8KGkBz2k59C0dI485G90DrYMD+FnGxap+Aquior49e74iUl8tnP8rNnJ08ytwPl+xxmoySG
bbDWNWFWdKvss5MWzMvFZK9K5blI01O6/jj+VJdkPPe3ZnBN/GIU+V76yz8AAAD//w==</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sz="2400" b="1"/>
          </a:pPr>
          <a:endParaRPr lang="en-US" sz="2400" b="1" i="0" u="none" strike="noStrike" baseline="0">
            <a:solidFill>
              <a:srgbClr val="000000">
                <a:lumMod val="65000"/>
                <a:lumOff val="35000"/>
              </a:srgbClr>
            </a:solidFill>
            <a:latin typeface="Arial"/>
            <a:cs typeface="Arial"/>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image" Target="../media/image2.sv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1143000</xdr:colOff>
      <xdr:row>34</xdr:row>
      <xdr:rowOff>78701</xdr:rowOff>
    </xdr:from>
    <xdr:to>
      <xdr:col>10</xdr:col>
      <xdr:colOff>3556000</xdr:colOff>
      <xdr:row>50</xdr:row>
      <xdr:rowOff>0</xdr:rowOff>
    </xdr:to>
    <xdr:graphicFrame macro="">
      <xdr:nvGraphicFramePr>
        <xdr:cNvPr id="2" name="Chart 1">
          <a:extLst>
            <a:ext uri="{FF2B5EF4-FFF2-40B4-BE49-F238E27FC236}">
              <a16:creationId xmlns:a16="http://schemas.microsoft.com/office/drawing/2014/main" id="{D3225299-2C42-9479-33F2-4532B21A9B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1270000</xdr:colOff>
      <xdr:row>17</xdr:row>
      <xdr:rowOff>0</xdr:rowOff>
    </xdr:from>
    <xdr:to>
      <xdr:col>9</xdr:col>
      <xdr:colOff>3460750</xdr:colOff>
      <xdr:row>32</xdr:row>
      <xdr:rowOff>31750</xdr:rowOff>
    </xdr:to>
    <mc:AlternateContent xmlns:mc="http://schemas.openxmlformats.org/markup-compatibility/2006">
      <mc:Choice xmlns:cx4="http://schemas.microsoft.com/office/drawing/2016/5/10/chartex" Requires="cx4">
        <xdr:graphicFrame macro="">
          <xdr:nvGraphicFramePr>
            <xdr:cNvPr id="4" name="Chart 1">
              <a:extLst>
                <a:ext uri="{FF2B5EF4-FFF2-40B4-BE49-F238E27FC236}">
                  <a16:creationId xmlns:a16="http://schemas.microsoft.com/office/drawing/2014/main" id="{4E580BB0-DDCA-1A85-4946-8D9333A2B70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408612" y="7772400"/>
              <a:ext cx="18235613" cy="65754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1016000</xdr:colOff>
      <xdr:row>51</xdr:row>
      <xdr:rowOff>37327</xdr:rowOff>
    </xdr:from>
    <xdr:to>
      <xdr:col>13</xdr:col>
      <xdr:colOff>31749</xdr:colOff>
      <xdr:row>107</xdr:row>
      <xdr:rowOff>31750</xdr:rowOff>
    </xdr:to>
    <xdr:graphicFrame macro="">
      <xdr:nvGraphicFramePr>
        <xdr:cNvPr id="11" name="Chart 1">
          <a:extLst>
            <a:ext uri="{FF2B5EF4-FFF2-40B4-BE49-F238E27FC236}">
              <a16:creationId xmlns:a16="http://schemas.microsoft.com/office/drawing/2014/main" id="{6F5911A5-C357-C90B-E1EF-89A3AC8531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63500</xdr:colOff>
      <xdr:row>47</xdr:row>
      <xdr:rowOff>317500</xdr:rowOff>
    </xdr:from>
    <xdr:to>
      <xdr:col>30</xdr:col>
      <xdr:colOff>793750</xdr:colOff>
      <xdr:row>107</xdr:row>
      <xdr:rowOff>63500</xdr:rowOff>
    </xdr:to>
    <xdr:graphicFrame macro="">
      <xdr:nvGraphicFramePr>
        <xdr:cNvPr id="12" name="Chart 4">
          <a:extLst>
            <a:ext uri="{FF2B5EF4-FFF2-40B4-BE49-F238E27FC236}">
              <a16:creationId xmlns:a16="http://schemas.microsoft.com/office/drawing/2014/main" id="{6BED369F-D131-4E80-2A56-D24B4E1D9C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71437</xdr:colOff>
      <xdr:row>16</xdr:row>
      <xdr:rowOff>95250</xdr:rowOff>
    </xdr:from>
    <xdr:to>
      <xdr:col>30</xdr:col>
      <xdr:colOff>762000</xdr:colOff>
      <xdr:row>47</xdr:row>
      <xdr:rowOff>254000</xdr:rowOff>
    </xdr:to>
    <xdr:graphicFrame macro="">
      <xdr:nvGraphicFramePr>
        <xdr:cNvPr id="13" name="Chart 5">
          <a:extLst>
            <a:ext uri="{FF2B5EF4-FFF2-40B4-BE49-F238E27FC236}">
              <a16:creationId xmlns:a16="http://schemas.microsoft.com/office/drawing/2014/main" id="{2129B729-62E5-B18F-463B-DD794338C9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540883</xdr:colOff>
      <xdr:row>9</xdr:row>
      <xdr:rowOff>23812</xdr:rowOff>
    </xdr:from>
    <xdr:to>
      <xdr:col>3</xdr:col>
      <xdr:colOff>115660</xdr:colOff>
      <xdr:row>10</xdr:row>
      <xdr:rowOff>591911</xdr:rowOff>
    </xdr:to>
    <xdr:pic macro="[0]!Data_Sources">
      <xdr:nvPicPr>
        <xdr:cNvPr id="5" name="Graphic 4" descr="Bar chart with solid fill">
          <a:extLst>
            <a:ext uri="{FF2B5EF4-FFF2-40B4-BE49-F238E27FC236}">
              <a16:creationId xmlns:a16="http://schemas.microsoft.com/office/drawing/2014/main" id="{47C2053B-3793-4888-8E8E-330D6A7B068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74321" y="2500312"/>
          <a:ext cx="2622777" cy="1758724"/>
        </a:xfrm>
        <a:prstGeom prst="rect">
          <a:avLst/>
        </a:prstGeom>
      </xdr:spPr>
    </xdr:pic>
    <xdr:clientData/>
  </xdr:twoCellAnchor>
  <xdr:twoCellAnchor editAs="absolute">
    <xdr:from>
      <xdr:col>0</xdr:col>
      <xdr:colOff>573268</xdr:colOff>
      <xdr:row>12</xdr:row>
      <xdr:rowOff>717842</xdr:rowOff>
    </xdr:from>
    <xdr:to>
      <xdr:col>3</xdr:col>
      <xdr:colOff>762000</xdr:colOff>
      <xdr:row>17</xdr:row>
      <xdr:rowOff>387642</xdr:rowOff>
    </xdr:to>
    <mc:AlternateContent xmlns:mc="http://schemas.openxmlformats.org/markup-compatibility/2006" xmlns:a14="http://schemas.microsoft.com/office/drawing/2010/main">
      <mc:Choice Requires="a14">
        <xdr:graphicFrame macro="">
          <xdr:nvGraphicFramePr>
            <xdr:cNvPr id="7" name="Region 2">
              <a:extLst>
                <a:ext uri="{FF2B5EF4-FFF2-40B4-BE49-F238E27FC236}">
                  <a16:creationId xmlns:a16="http://schemas.microsoft.com/office/drawing/2014/main" id="{DFBC790F-5071-4695-92A9-E239CD7515A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73268" y="6210592"/>
              <a:ext cx="4062232"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500063</xdr:colOff>
      <xdr:row>17</xdr:row>
      <xdr:rowOff>598729</xdr:rowOff>
    </xdr:from>
    <xdr:to>
      <xdr:col>3</xdr:col>
      <xdr:colOff>876775</xdr:colOff>
      <xdr:row>29</xdr:row>
      <xdr:rowOff>111125</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1936D82C-4A20-4C9C-B058-120F9C1B4AFB}"/>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500063" y="8258099"/>
              <a:ext cx="4250212" cy="50252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285750</xdr:colOff>
      <xdr:row>11</xdr:row>
      <xdr:rowOff>475526</xdr:rowOff>
    </xdr:from>
    <xdr:to>
      <xdr:col>7</xdr:col>
      <xdr:colOff>913061</xdr:colOff>
      <xdr:row>13</xdr:row>
      <xdr:rowOff>479298</xdr:rowOff>
    </xdr:to>
    <xdr:sp macro="" textlink="">
      <xdr:nvSpPr>
        <xdr:cNvPr id="9" name="TextBox 8">
          <a:extLst>
            <a:ext uri="{FF2B5EF4-FFF2-40B4-BE49-F238E27FC236}">
              <a16:creationId xmlns:a16="http://schemas.microsoft.com/office/drawing/2014/main" id="{4E0966E0-1DDC-4203-ACF2-32EFCD63CADD}"/>
            </a:ext>
          </a:extLst>
        </xdr:cNvPr>
        <xdr:cNvSpPr txBox="1"/>
      </xdr:nvSpPr>
      <xdr:spPr>
        <a:xfrm>
          <a:off x="11207750" y="5142776"/>
          <a:ext cx="3294311" cy="1654772"/>
        </a:xfrm>
        <a:prstGeom prst="rect">
          <a:avLst/>
        </a:prstGeom>
        <a:solidFill>
          <a:srgbClr val="CDB6E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2060"/>
              </a:solidFill>
            </a:rPr>
            <a:t>Best Health</a:t>
          </a:r>
          <a:r>
            <a:rPr lang="en-IN" sz="2800" b="1" baseline="0">
              <a:solidFill>
                <a:srgbClr val="002060"/>
              </a:solidFill>
            </a:rPr>
            <a:t>care:</a:t>
          </a:r>
          <a:r>
            <a:rPr lang="en-IN" sz="2800" b="1">
              <a:solidFill>
                <a:srgbClr val="002060"/>
              </a:solidFill>
            </a:rPr>
            <a:t> </a:t>
          </a:r>
          <a:br>
            <a:rPr lang="en-IN" sz="2800" b="1">
              <a:solidFill>
                <a:srgbClr val="002060"/>
              </a:solidFill>
            </a:rPr>
          </a:br>
          <a:r>
            <a:rPr lang="en-IN" sz="3600" b="1">
              <a:solidFill>
                <a:srgbClr val="002060"/>
              </a:solidFill>
            </a:rPr>
            <a:t>Rhode Island</a:t>
          </a:r>
        </a:p>
      </xdr:txBody>
    </xdr:sp>
    <xdr:clientData/>
  </xdr:twoCellAnchor>
  <xdr:oneCellAnchor>
    <xdr:from>
      <xdr:col>6</xdr:col>
      <xdr:colOff>1890293</xdr:colOff>
      <xdr:row>0</xdr:row>
      <xdr:rowOff>36465</xdr:rowOff>
    </xdr:from>
    <xdr:ext cx="23851017" cy="1301510"/>
    <xdr:sp macro="" textlink="">
      <xdr:nvSpPr>
        <xdr:cNvPr id="16" name="Rectangle 15">
          <a:extLst>
            <a:ext uri="{FF2B5EF4-FFF2-40B4-BE49-F238E27FC236}">
              <a16:creationId xmlns:a16="http://schemas.microsoft.com/office/drawing/2014/main" id="{FB51C088-7447-9E5A-CAA7-5624C88BF9F4}"/>
            </a:ext>
          </a:extLst>
        </xdr:cNvPr>
        <xdr:cNvSpPr/>
      </xdr:nvSpPr>
      <xdr:spPr>
        <a:xfrm>
          <a:off x="12812293" y="36465"/>
          <a:ext cx="23851017" cy="1301510"/>
        </a:xfrm>
        <a:prstGeom prst="rect">
          <a:avLst/>
        </a:prstGeom>
        <a:noFill/>
      </xdr:spPr>
      <xdr:txBody>
        <a:bodyPr wrap="none" lIns="91440" tIns="45720" rIns="91440" bIns="45720">
          <a:spAutoFit/>
        </a:bodyPr>
        <a:lstStyle/>
        <a:p>
          <a:pPr algn="ctr"/>
          <a:r>
            <a:rPr lang="en-US" sz="82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East Coast Living Index:</a:t>
          </a:r>
          <a:r>
            <a:rPr lang="en-US" sz="8200" b="1"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 The Best Place to Live</a:t>
          </a:r>
          <a:endParaRPr lang="en-US" sz="82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oneCellAnchor>
  <xdr:twoCellAnchor>
    <xdr:from>
      <xdr:col>1</xdr:col>
      <xdr:colOff>581705</xdr:colOff>
      <xdr:row>10</xdr:row>
      <xdr:rowOff>377599</xdr:rowOff>
    </xdr:from>
    <xdr:to>
      <xdr:col>3</xdr:col>
      <xdr:colOff>0</xdr:colOff>
      <xdr:row>12</xdr:row>
      <xdr:rowOff>285750</xdr:rowOff>
    </xdr:to>
    <xdr:sp macro="" textlink="">
      <xdr:nvSpPr>
        <xdr:cNvPr id="17" name="Rounded Rectangle 16">
          <a:extLst>
            <a:ext uri="{FF2B5EF4-FFF2-40B4-BE49-F238E27FC236}">
              <a16:creationId xmlns:a16="http://schemas.microsoft.com/office/drawing/2014/main" id="{0807FF56-2374-2323-D4A8-217179DD6E1A}"/>
            </a:ext>
          </a:extLst>
        </xdr:cNvPr>
        <xdr:cNvSpPr/>
      </xdr:nvSpPr>
      <xdr:spPr>
        <a:xfrm>
          <a:off x="1407205" y="3298599"/>
          <a:ext cx="2466295" cy="2067151"/>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4000"/>
            <a:t>Click for</a:t>
          </a:r>
          <a:r>
            <a:rPr lang="en-US" sz="4000" baseline="0"/>
            <a:t> Dataset</a:t>
          </a:r>
          <a:endParaRPr lang="en-US" sz="4000"/>
        </a:p>
      </xdr:txBody>
    </xdr:sp>
    <xdr:clientData/>
  </xdr:twoCellAnchor>
  <mc:AlternateContent xmlns:mc="http://schemas.openxmlformats.org/markup-compatibility/2006">
    <mc:Choice xmlns:a14="http://schemas.microsoft.com/office/drawing/2010/main" Requires="a14">
      <xdr:twoCellAnchor editAs="oneCell">
        <xdr:from>
          <xdr:col>1</xdr:col>
          <xdr:colOff>100013</xdr:colOff>
          <xdr:row>1</xdr:row>
          <xdr:rowOff>47625</xdr:rowOff>
        </xdr:from>
        <xdr:to>
          <xdr:col>3</xdr:col>
          <xdr:colOff>190500</xdr:colOff>
          <xdr:row>8</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109728" tIns="91440" rIns="109728" bIns="91440" anchor="ctr" upright="1"/>
            <a:lstStyle/>
            <a:p>
              <a:pPr algn="ctr" rtl="0">
                <a:defRPr sz="1000"/>
              </a:pPr>
              <a:r>
                <a:rPr lang="en-US" sz="2800" b="1" i="0" u="none" strike="noStrike" baseline="0">
                  <a:solidFill>
                    <a:srgbClr val="FF6600"/>
                  </a:solidFill>
                  <a:latin typeface="Arial"/>
                  <a:cs typeface="Arial"/>
                </a:rPr>
                <a:t>Reset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10</xdr:row>
          <xdr:rowOff>419100</xdr:rowOff>
        </xdr:from>
        <xdr:to>
          <xdr:col>22</xdr:col>
          <xdr:colOff>190500</xdr:colOff>
          <xdr:row>11</xdr:row>
          <xdr:rowOff>314325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0">
                <a:defRPr sz="1000"/>
              </a:pPr>
              <a:r>
                <a:rPr lang="en-US" sz="3000" b="1" i="0" u="none" strike="noStrike" baseline="0">
                  <a:solidFill>
                    <a:srgbClr val="660066"/>
                  </a:solidFill>
                  <a:latin typeface="Arial"/>
                  <a:cs typeface="Arial"/>
                </a:rPr>
                <a:t>Families (35-55)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752475</xdr:colOff>
          <xdr:row>10</xdr:row>
          <xdr:rowOff>390525</xdr:rowOff>
        </xdr:from>
        <xdr:to>
          <xdr:col>27</xdr:col>
          <xdr:colOff>123825</xdr:colOff>
          <xdr:row>11</xdr:row>
          <xdr:rowOff>314325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0">
                <a:defRPr sz="1000"/>
              </a:pPr>
              <a:r>
                <a:rPr lang="en-US" sz="3000" b="1" i="0" u="none" strike="noStrike" baseline="0">
                  <a:solidFill>
                    <a:srgbClr val="800000"/>
                  </a:solidFill>
                  <a:latin typeface="Arial"/>
                  <a:cs typeface="Arial"/>
                </a:rPr>
                <a:t>Middle-Aged               (55-70)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11</xdr:row>
          <xdr:rowOff>557213</xdr:rowOff>
        </xdr:from>
        <xdr:to>
          <xdr:col>25</xdr:col>
          <xdr:colOff>85725</xdr:colOff>
          <xdr:row>13</xdr:row>
          <xdr:rowOff>328613</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0">
                <a:defRPr sz="1000"/>
              </a:pPr>
              <a:r>
                <a:rPr lang="en-US" sz="3000" b="1" i="0" u="none" strike="noStrike" baseline="0">
                  <a:solidFill>
                    <a:srgbClr val="333333"/>
                  </a:solidFill>
                  <a:latin typeface="Arial"/>
                  <a:cs typeface="Arial"/>
                </a:rPr>
                <a:t>Seniors (70+)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647700</xdr:colOff>
          <xdr:row>8</xdr:row>
          <xdr:rowOff>28575</xdr:rowOff>
        </xdr:from>
        <xdr:to>
          <xdr:col>22</xdr:col>
          <xdr:colOff>152400</xdr:colOff>
          <xdr:row>10</xdr:row>
          <xdr:rowOff>38100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0">
                <a:defRPr sz="1000"/>
              </a:pPr>
              <a:r>
                <a:rPr lang="en-US" sz="3000" b="1" i="0" u="none" strike="noStrike" baseline="0">
                  <a:solidFill>
                    <a:srgbClr val="008000"/>
                  </a:solidFill>
                  <a:latin typeface="Arial"/>
                  <a:cs typeface="Arial"/>
                </a:rPr>
                <a:t>Students (18-22)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647700</xdr:colOff>
          <xdr:row>8</xdr:row>
          <xdr:rowOff>28575</xdr:rowOff>
        </xdr:from>
        <xdr:to>
          <xdr:col>27</xdr:col>
          <xdr:colOff>138113</xdr:colOff>
          <xdr:row>10</xdr:row>
          <xdr:rowOff>61913</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0">
                <a:defRPr sz="1000"/>
              </a:pPr>
              <a:r>
                <a:rPr lang="en-US" sz="3000" b="1" i="0" u="none" strike="noStrike" baseline="0">
                  <a:solidFill>
                    <a:srgbClr val="0000FF"/>
                  </a:solidFill>
                  <a:latin typeface="Arial"/>
                  <a:cs typeface="Arial"/>
                </a:rPr>
                <a:t>Young Adults       (18-35)</a:t>
              </a:r>
            </a:p>
          </xdr:txBody>
        </xdr:sp>
        <xdr:clientData fPrintsWithSheet="0"/>
      </xdr:twoCellAnchor>
    </mc:Choice>
    <mc:Fallback/>
  </mc:AlternateContent>
  <xdr:twoCellAnchor>
    <xdr:from>
      <xdr:col>7</xdr:col>
      <xdr:colOff>2127250</xdr:colOff>
      <xdr:row>11</xdr:row>
      <xdr:rowOff>443776</xdr:rowOff>
    </xdr:from>
    <xdr:to>
      <xdr:col>9</xdr:col>
      <xdr:colOff>444500</xdr:colOff>
      <xdr:row>13</xdr:row>
      <xdr:rowOff>447548</xdr:rowOff>
    </xdr:to>
    <xdr:sp macro="" textlink="">
      <xdr:nvSpPr>
        <xdr:cNvPr id="6" name="TextBox 5">
          <a:extLst>
            <a:ext uri="{FF2B5EF4-FFF2-40B4-BE49-F238E27FC236}">
              <a16:creationId xmlns:a16="http://schemas.microsoft.com/office/drawing/2014/main" id="{29A07C48-FA44-12EE-1FEF-1AD5A1F783FE}"/>
            </a:ext>
          </a:extLst>
        </xdr:cNvPr>
        <xdr:cNvSpPr txBox="1"/>
      </xdr:nvSpPr>
      <xdr:spPr>
        <a:xfrm>
          <a:off x="15716250" y="5111026"/>
          <a:ext cx="3556000" cy="1654772"/>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IN" sz="2800" b="1">
              <a:solidFill>
                <a:srgbClr val="002060"/>
              </a:solidFill>
            </a:rPr>
            <a:t>Best Education</a:t>
          </a:r>
          <a:r>
            <a:rPr lang="en-IN" sz="2800" b="1" baseline="0">
              <a:solidFill>
                <a:srgbClr val="002060"/>
              </a:solidFill>
            </a:rPr>
            <a:t>:</a:t>
          </a:r>
          <a:r>
            <a:rPr lang="en-IN" sz="2800" b="1">
              <a:solidFill>
                <a:srgbClr val="002060"/>
              </a:solidFill>
            </a:rPr>
            <a:t> </a:t>
          </a:r>
          <a:br>
            <a:rPr lang="en-IN" sz="2800" b="1">
              <a:solidFill>
                <a:srgbClr val="002060"/>
              </a:solidFill>
            </a:rPr>
          </a:br>
          <a:r>
            <a:rPr lang="en-IN" sz="3600" b="1">
              <a:solidFill>
                <a:srgbClr val="002060"/>
              </a:solidFill>
            </a:rPr>
            <a:t>Massachusetts</a:t>
          </a:r>
        </a:p>
      </xdr:txBody>
    </xdr:sp>
    <xdr:clientData/>
  </xdr:twoCellAnchor>
  <xdr:twoCellAnchor>
    <xdr:from>
      <xdr:col>9</xdr:col>
      <xdr:colOff>1841500</xdr:colOff>
      <xdr:row>11</xdr:row>
      <xdr:rowOff>443776</xdr:rowOff>
    </xdr:from>
    <xdr:to>
      <xdr:col>10</xdr:col>
      <xdr:colOff>1579811</xdr:colOff>
      <xdr:row>13</xdr:row>
      <xdr:rowOff>447548</xdr:rowOff>
    </xdr:to>
    <xdr:sp macro="" textlink="">
      <xdr:nvSpPr>
        <xdr:cNvPr id="10" name="TextBox 9">
          <a:extLst>
            <a:ext uri="{FF2B5EF4-FFF2-40B4-BE49-F238E27FC236}">
              <a16:creationId xmlns:a16="http://schemas.microsoft.com/office/drawing/2014/main" id="{64F8A453-A93A-26E6-40DE-E67EEFFE94F2}"/>
            </a:ext>
          </a:extLst>
        </xdr:cNvPr>
        <xdr:cNvSpPr txBox="1"/>
      </xdr:nvSpPr>
      <xdr:spPr>
        <a:xfrm>
          <a:off x="20669250" y="5111026"/>
          <a:ext cx="3294311" cy="1654772"/>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IN" sz="2800" b="1">
              <a:solidFill>
                <a:srgbClr val="002060"/>
              </a:solidFill>
            </a:rPr>
            <a:t>Cheapest Rent</a:t>
          </a:r>
          <a:r>
            <a:rPr lang="en-IN" sz="2800" b="1" baseline="0">
              <a:solidFill>
                <a:srgbClr val="002060"/>
              </a:solidFill>
            </a:rPr>
            <a:t>:</a:t>
          </a:r>
          <a:r>
            <a:rPr lang="en-IN" sz="2800" b="1">
              <a:solidFill>
                <a:srgbClr val="002060"/>
              </a:solidFill>
            </a:rPr>
            <a:t> </a:t>
          </a:r>
          <a:br>
            <a:rPr lang="en-IN" sz="2800" b="1">
              <a:solidFill>
                <a:srgbClr val="002060"/>
              </a:solidFill>
            </a:rPr>
          </a:br>
          <a:r>
            <a:rPr lang="en-IN" sz="3600" b="1">
              <a:solidFill>
                <a:srgbClr val="002060"/>
              </a:solidFill>
            </a:rPr>
            <a:t>North Carolina</a:t>
          </a:r>
        </a:p>
      </xdr:txBody>
    </xdr:sp>
    <xdr:clientData/>
  </xdr:twoCellAnchor>
  <xdr:twoCellAnchor>
    <xdr:from>
      <xdr:col>10</xdr:col>
      <xdr:colOff>2952750</xdr:colOff>
      <xdr:row>11</xdr:row>
      <xdr:rowOff>412026</xdr:rowOff>
    </xdr:from>
    <xdr:to>
      <xdr:col>11</xdr:col>
      <xdr:colOff>2857499</xdr:colOff>
      <xdr:row>13</xdr:row>
      <xdr:rowOff>444500</xdr:rowOff>
    </xdr:to>
    <xdr:sp macro="" textlink="">
      <xdr:nvSpPr>
        <xdr:cNvPr id="14" name="TextBox 13">
          <a:extLst>
            <a:ext uri="{FF2B5EF4-FFF2-40B4-BE49-F238E27FC236}">
              <a16:creationId xmlns:a16="http://schemas.microsoft.com/office/drawing/2014/main" id="{C2613EC5-ED5C-CBB1-2AD0-67A2D8418841}"/>
            </a:ext>
          </a:extLst>
        </xdr:cNvPr>
        <xdr:cNvSpPr txBox="1"/>
      </xdr:nvSpPr>
      <xdr:spPr>
        <a:xfrm>
          <a:off x="25336500" y="5079276"/>
          <a:ext cx="2984499" cy="1683474"/>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IN" sz="2800" b="1">
              <a:solidFill>
                <a:srgbClr val="002060"/>
              </a:solidFill>
            </a:rPr>
            <a:t>The safest</a:t>
          </a:r>
          <a:r>
            <a:rPr lang="en-IN" sz="2800" b="1" baseline="0">
              <a:solidFill>
                <a:srgbClr val="002060"/>
              </a:solidFill>
            </a:rPr>
            <a:t>:</a:t>
          </a:r>
          <a:r>
            <a:rPr lang="en-IN" sz="2800" b="1">
              <a:solidFill>
                <a:srgbClr val="002060"/>
              </a:solidFill>
            </a:rPr>
            <a:t> </a:t>
          </a:r>
          <a:br>
            <a:rPr lang="en-IN" sz="2800" b="1">
              <a:solidFill>
                <a:srgbClr val="002060"/>
              </a:solidFill>
            </a:rPr>
          </a:br>
          <a:r>
            <a:rPr lang="en-IN" sz="3600" b="1">
              <a:solidFill>
                <a:srgbClr val="002060"/>
              </a:solidFill>
            </a:rPr>
            <a:t>New Hampshire</a:t>
          </a:r>
        </a:p>
      </xdr:txBody>
    </xdr:sp>
    <xdr:clientData/>
  </xdr:twoCellAnchor>
  <xdr:twoCellAnchor>
    <xdr:from>
      <xdr:col>12</xdr:col>
      <xdr:colOff>1238250</xdr:colOff>
      <xdr:row>11</xdr:row>
      <xdr:rowOff>443776</xdr:rowOff>
    </xdr:from>
    <xdr:to>
      <xdr:col>13</xdr:col>
      <xdr:colOff>738436</xdr:colOff>
      <xdr:row>13</xdr:row>
      <xdr:rowOff>447548</xdr:rowOff>
    </xdr:to>
    <xdr:sp macro="" textlink="">
      <xdr:nvSpPr>
        <xdr:cNvPr id="15" name="TextBox 14">
          <a:extLst>
            <a:ext uri="{FF2B5EF4-FFF2-40B4-BE49-F238E27FC236}">
              <a16:creationId xmlns:a16="http://schemas.microsoft.com/office/drawing/2014/main" id="{D40FCECD-F14A-D1C4-127C-82263085B652}"/>
            </a:ext>
          </a:extLst>
        </xdr:cNvPr>
        <xdr:cNvSpPr txBox="1"/>
      </xdr:nvSpPr>
      <xdr:spPr>
        <a:xfrm>
          <a:off x="29781500" y="5111026"/>
          <a:ext cx="3056186" cy="1654772"/>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IN" sz="2800" b="1">
              <a:solidFill>
                <a:srgbClr val="002060"/>
              </a:solidFill>
            </a:rPr>
            <a:t>The Coolest</a:t>
          </a:r>
          <a:r>
            <a:rPr lang="en-IN" sz="2800" b="1" baseline="0">
              <a:solidFill>
                <a:srgbClr val="002060"/>
              </a:solidFill>
            </a:rPr>
            <a:t>:</a:t>
          </a:r>
          <a:r>
            <a:rPr lang="en-IN" sz="2800" b="1">
              <a:solidFill>
                <a:srgbClr val="002060"/>
              </a:solidFill>
            </a:rPr>
            <a:t> </a:t>
          </a:r>
          <a:br>
            <a:rPr lang="en-IN" sz="2800" b="1">
              <a:solidFill>
                <a:srgbClr val="002060"/>
              </a:solidFill>
            </a:rPr>
          </a:br>
          <a:r>
            <a:rPr lang="en-IN" sz="3600" b="1">
              <a:solidFill>
                <a:srgbClr val="002060"/>
              </a:solidFill>
            </a:rPr>
            <a:t>Maine</a:t>
          </a:r>
        </a:p>
      </xdr:txBody>
    </xdr:sp>
    <xdr:clientData/>
  </xdr:twoCellAnchor>
  <xdr:twoCellAnchor>
    <xdr:from>
      <xdr:col>13</xdr:col>
      <xdr:colOff>2127250</xdr:colOff>
      <xdr:row>11</xdr:row>
      <xdr:rowOff>412026</xdr:rowOff>
    </xdr:from>
    <xdr:to>
      <xdr:col>14</xdr:col>
      <xdr:colOff>1897311</xdr:colOff>
      <xdr:row>13</xdr:row>
      <xdr:rowOff>415798</xdr:rowOff>
    </xdr:to>
    <xdr:sp macro="" textlink="">
      <xdr:nvSpPr>
        <xdr:cNvPr id="18" name="TextBox 17">
          <a:extLst>
            <a:ext uri="{FF2B5EF4-FFF2-40B4-BE49-F238E27FC236}">
              <a16:creationId xmlns:a16="http://schemas.microsoft.com/office/drawing/2014/main" id="{8A494543-8446-F543-25AE-F59BCFFB030F}"/>
            </a:ext>
          </a:extLst>
        </xdr:cNvPr>
        <xdr:cNvSpPr txBox="1"/>
      </xdr:nvSpPr>
      <xdr:spPr>
        <a:xfrm>
          <a:off x="34226500" y="5079276"/>
          <a:ext cx="3294311" cy="1654772"/>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IN" sz="2800" b="1">
              <a:solidFill>
                <a:srgbClr val="002060"/>
              </a:solidFill>
            </a:rPr>
            <a:t>The Sunniest</a:t>
          </a:r>
          <a:r>
            <a:rPr lang="en-IN" sz="2800" b="1" baseline="0">
              <a:solidFill>
                <a:srgbClr val="002060"/>
              </a:solidFill>
            </a:rPr>
            <a:t>:</a:t>
          </a:r>
          <a:r>
            <a:rPr lang="en-IN" sz="2800" b="1">
              <a:solidFill>
                <a:srgbClr val="002060"/>
              </a:solidFill>
            </a:rPr>
            <a:t> </a:t>
          </a:r>
          <a:br>
            <a:rPr lang="en-IN" sz="2800" b="1">
              <a:solidFill>
                <a:srgbClr val="002060"/>
              </a:solidFill>
            </a:rPr>
          </a:br>
          <a:r>
            <a:rPr lang="en-IN" sz="3600" b="1">
              <a:solidFill>
                <a:srgbClr val="002060"/>
              </a:solidFill>
            </a:rPr>
            <a:t>South Carolina</a:t>
          </a:r>
        </a:p>
      </xdr:txBody>
    </xdr:sp>
    <xdr:clientData/>
  </xdr:twoCellAnchor>
  <xdr:twoCellAnchor>
    <xdr:from>
      <xdr:col>15</xdr:col>
      <xdr:colOff>285750</xdr:colOff>
      <xdr:row>1</xdr:row>
      <xdr:rowOff>0</xdr:rowOff>
    </xdr:from>
    <xdr:to>
      <xdr:col>29</xdr:col>
      <xdr:colOff>254000</xdr:colOff>
      <xdr:row>6</xdr:row>
      <xdr:rowOff>95250</xdr:rowOff>
    </xdr:to>
    <xdr:sp macro="" textlink="">
      <xdr:nvSpPr>
        <xdr:cNvPr id="19" name="Ribbon: Tilted Up 18">
          <a:extLst>
            <a:ext uri="{FF2B5EF4-FFF2-40B4-BE49-F238E27FC236}">
              <a16:creationId xmlns:a16="http://schemas.microsoft.com/office/drawing/2014/main" id="{6BBF4AA4-F34A-D2C6-9E19-9A0BE1FA7D98}"/>
            </a:ext>
          </a:extLst>
        </xdr:cNvPr>
        <xdr:cNvSpPr/>
      </xdr:nvSpPr>
      <xdr:spPr>
        <a:xfrm>
          <a:off x="40036750" y="190500"/>
          <a:ext cx="11525250" cy="1047750"/>
        </a:xfrm>
        <a:prstGeom prst="ribbon2">
          <a:avLst>
            <a:gd name="adj1" fmla="val 16667"/>
            <a:gd name="adj2" fmla="val 5974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17</xdr:col>
      <xdr:colOff>190500</xdr:colOff>
      <xdr:row>2</xdr:row>
      <xdr:rowOff>179</xdr:rowOff>
    </xdr:from>
    <xdr:ext cx="8654692" cy="564193"/>
    <xdr:sp macro="" textlink="">
      <xdr:nvSpPr>
        <xdr:cNvPr id="22" name="Rectangle 21">
          <a:extLst>
            <a:ext uri="{FF2B5EF4-FFF2-40B4-BE49-F238E27FC236}">
              <a16:creationId xmlns:a16="http://schemas.microsoft.com/office/drawing/2014/main" id="{A3CFFC6A-E08D-C070-D0EB-913E87BDACD7}"/>
            </a:ext>
          </a:extLst>
        </xdr:cNvPr>
        <xdr:cNvSpPr/>
      </xdr:nvSpPr>
      <xdr:spPr>
        <a:xfrm>
          <a:off x="41592500" y="381179"/>
          <a:ext cx="8654692" cy="564193"/>
        </a:xfrm>
        <a:prstGeom prst="rect">
          <a:avLst/>
        </a:prstGeom>
        <a:noFill/>
      </xdr:spPr>
      <xdr:txBody>
        <a:bodyPr wrap="square" lIns="91440" tIns="45720" rIns="91440" bIns="45720">
          <a:spAutoFit/>
        </a:bodyPr>
        <a:lstStyle/>
        <a:p>
          <a:pPr algn="ctr"/>
          <a:r>
            <a:rPr lang="en-US" sz="3200" b="0" cap="none" spc="0">
              <a:ln w="0"/>
              <a:solidFill>
                <a:schemeClr val="bg1"/>
              </a:solidFill>
              <a:effectLst>
                <a:outerShdw blurRad="38100" dist="25400" dir="5400000" algn="ctr" rotWithShape="0">
                  <a:srgbClr val="6E747A">
                    <a:alpha val="43000"/>
                  </a:srgbClr>
                </a:outerShdw>
              </a:effectLst>
            </a:rPr>
            <a:t>Let's find your</a:t>
          </a:r>
          <a:r>
            <a:rPr lang="en-US" sz="3200" b="0" cap="none" spc="0" baseline="0">
              <a:ln w="0"/>
              <a:solidFill>
                <a:schemeClr val="bg1"/>
              </a:solidFill>
              <a:effectLst>
                <a:outerShdw blurRad="38100" dist="25400" dir="5400000" algn="ctr" rotWithShape="0">
                  <a:srgbClr val="6E747A">
                    <a:alpha val="43000"/>
                  </a:srgbClr>
                </a:outerShdw>
              </a:effectLst>
            </a:rPr>
            <a:t> dream state to live in!</a:t>
          </a:r>
          <a:endParaRPr lang="en-US" sz="3200" b="0" cap="none" spc="0">
            <a:ln w="0"/>
            <a:solidFill>
              <a:schemeClr val="bg1"/>
            </a:solidFill>
            <a:effectLst>
              <a:outerShdw blurRad="38100" dist="25400" dir="5400000" algn="ctr" rotWithShape="0">
                <a:srgbClr val="6E747A">
                  <a:alpha val="43000"/>
                </a:srgbClr>
              </a:outerShdw>
            </a:effectLst>
          </a:endParaRPr>
        </a:p>
      </xdr:txBody>
    </xdr:sp>
    <xdr:clientData/>
  </xdr:oneCellAnchor>
  <mc:AlternateContent xmlns:mc="http://schemas.openxmlformats.org/markup-compatibility/2006">
    <mc:Choice xmlns:a14="http://schemas.microsoft.com/office/drawing/2010/main" Requires="a14">
      <xdr:twoCellAnchor>
        <xdr:from>
          <xdr:col>11</xdr:col>
          <xdr:colOff>2028825</xdr:colOff>
          <xdr:row>108</xdr:row>
          <xdr:rowOff>123825</xdr:rowOff>
        </xdr:from>
        <xdr:to>
          <xdr:col>12</xdr:col>
          <xdr:colOff>3076575</xdr:colOff>
          <xdr:row>114</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137160" tIns="114300" rIns="137160" bIns="114300" anchor="ctr" upright="1"/>
            <a:lstStyle/>
            <a:p>
              <a:pPr algn="ctr" rtl="0">
                <a:defRPr sz="1000"/>
              </a:pPr>
              <a:r>
                <a:rPr lang="en-US" sz="3600" b="1" i="0" u="none" strike="noStrike" baseline="0">
                  <a:solidFill>
                    <a:srgbClr val="0000FF"/>
                  </a:solidFill>
                  <a:latin typeface="Arial"/>
                  <a:cs typeface="Arial"/>
                </a:rPr>
                <a:t>Back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92869</xdr:colOff>
          <xdr:row>29</xdr:row>
          <xdr:rowOff>15478</xdr:rowOff>
        </xdr:from>
        <xdr:to>
          <xdr:col>11</xdr:col>
          <xdr:colOff>819151</xdr:colOff>
          <xdr:row>33</xdr:row>
          <xdr:rowOff>65484</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9</xdr:col>
          <xdr:colOff>142875</xdr:colOff>
          <xdr:row>4</xdr:row>
          <xdr:rowOff>166688</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10</xdr:col>
          <xdr:colOff>709613</xdr:colOff>
          <xdr:row>4</xdr:row>
          <xdr:rowOff>152400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828675</xdr:colOff>
          <xdr:row>18</xdr:row>
          <xdr:rowOff>9525</xdr:rowOff>
        </xdr:from>
        <xdr:to>
          <xdr:col>12</xdr:col>
          <xdr:colOff>581025</xdr:colOff>
          <xdr:row>21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404813</xdr:colOff>
          <xdr:row>2</xdr:row>
          <xdr:rowOff>0</xdr:rowOff>
        </xdr:from>
        <xdr:to>
          <xdr:col>15</xdr:col>
          <xdr:colOff>847725</xdr:colOff>
          <xdr:row>5</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23813</xdr:colOff>
          <xdr:row>2</xdr:row>
          <xdr:rowOff>0</xdr:rowOff>
        </xdr:from>
        <xdr:to>
          <xdr:col>10</xdr:col>
          <xdr:colOff>723900</xdr:colOff>
          <xdr:row>5</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709613</xdr:colOff>
          <xdr:row>5</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800" b="1" i="0" u="none" strike="noStrike" baseline="0">
                  <a:solidFill>
                    <a:srgbClr val="FF0000"/>
                  </a:solidFill>
                  <a:latin typeface="Arial"/>
                  <a:cs typeface="Arial"/>
                </a:rPr>
                <a:t>Go to Dashboard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Abdullah Alaklobi" id="{6AD41B16-8793-4D36-A671-8CAA7913F2B1}" userId="S::aalaklobi@umass.edu::e2270e37-3f7e-446f-a992-e10a92d0bb9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lah Alaklobi" refreshedDate="45782.872735185185" createdVersion="8" refreshedVersion="8" minRefreshableVersion="3" recordCount="14" xr:uid="{A00AC8F2-39DF-4E9E-A2C9-9C438082F7DE}">
  <cacheSource type="worksheet">
    <worksheetSource name="Table1"/>
  </cacheSource>
  <cacheFields count="12">
    <cacheField name="Column 1" numFmtId="0">
      <sharedItems containsSemiMixedTypes="0" containsString="0" containsNumber="1" containsInteger="1" minValue="1" maxValue="14"/>
    </cacheField>
    <cacheField name="State" numFmtId="49">
      <sharedItems count="14">
        <s v="Maine"/>
        <s v="New Hampshire"/>
        <s v="Massachusetts"/>
        <s v="Rhode Island"/>
        <s v="Connecticut"/>
        <s v="New York"/>
        <s v="New Jersey"/>
        <s v="Delaware"/>
        <s v="Maryland"/>
        <s v="Virginia"/>
        <s v="North Carolina"/>
        <s v="South Carolina"/>
        <s v="Georgia"/>
        <s v="Florida"/>
      </sharedItems>
    </cacheField>
    <cacheField name="Region" numFmtId="0">
      <sharedItems count="2">
        <s v="Northeast"/>
        <s v="Southeast"/>
      </sharedItems>
    </cacheField>
    <cacheField name="Healthcare score" numFmtId="0">
      <sharedItems containsSemiMixedTypes="0" containsString="0" containsNumber="1" minValue="48.61" maxValue="67"/>
    </cacheField>
    <cacheField name="Safety Index" numFmtId="0">
      <sharedItems containsSemiMixedTypes="0" containsString="0" containsNumber="1" minValue="37.659999999999997" maxValue="65.58"/>
    </cacheField>
    <cacheField name="Average Housing Rent (Monthly)" numFmtId="164">
      <sharedItems containsSemiMixedTypes="0" containsString="0" containsNumber="1" containsInteger="1" minValue="1524" maxValue="2837"/>
    </cacheField>
    <cacheField name="Crime Rate                               (per 100,000)" numFmtId="0">
      <sharedItems containsSemiMixedTypes="0" containsString="0" containsNumber="1" containsInteger="1" minValue="996" maxValue="2660"/>
    </cacheField>
    <cacheField name="Education Score" numFmtId="0">
      <sharedItems containsSemiMixedTypes="0" containsString="0" containsNumber="1" minValue="42.92" maxValue="74.36"/>
    </cacheField>
    <cacheField name="Avg Annual Temp. " numFmtId="0">
      <sharedItems containsSemiMixedTypes="0" containsString="0" containsNumber="1" minValue="41" maxValue="70.7"/>
    </cacheField>
    <cacheField name="Avg Clear/Sunny Day (Annually)" numFmtId="0">
      <sharedItems containsSemiMixedTypes="0" containsString="0" containsNumber="1" containsInteger="1" minValue="63" maxValue="115"/>
    </cacheField>
    <cacheField name="Cost of Living" numFmtId="0">
      <sharedItems containsSemiMixedTypes="0" containsString="0" containsNumber="1" minValue="91.3" maxValue="145.9"/>
    </cacheField>
    <cacheField name="Housing index" numFmtId="0">
      <sharedItems containsSemiMixedTypes="0" containsString="0" containsNumber="1" minValue="79.2" maxValue="218.8"/>
    </cacheField>
  </cacheFields>
  <extLst>
    <ext xmlns:x14="http://schemas.microsoft.com/office/spreadsheetml/2009/9/main" uri="{725AE2AE-9491-48be-B2B4-4EB974FC3084}">
      <x14:pivotCacheDefinition pivotCacheId="1692670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x v="0"/>
    <x v="0"/>
    <n v="63.6"/>
    <n v="64.19"/>
    <n v="1971"/>
    <n v="1220"/>
    <n v="55.71"/>
    <n v="41"/>
    <n v="101"/>
    <n v="112.1"/>
    <n v="128.69999999999999"/>
  </r>
  <r>
    <n v="2"/>
    <x v="1"/>
    <x v="0"/>
    <n v="64.08"/>
    <n v="65.58"/>
    <n v="2112"/>
    <n v="996"/>
    <n v="60.07"/>
    <n v="43.8"/>
    <n v="90"/>
    <n v="112.6"/>
    <n v="117.5"/>
  </r>
  <r>
    <n v="3"/>
    <x v="2"/>
    <x v="0"/>
    <n v="64.05"/>
    <n v="63.59"/>
    <n v="2837"/>
    <n v="1410"/>
    <n v="74.36"/>
    <n v="47.9"/>
    <n v="98"/>
    <n v="145.9"/>
    <n v="218.8"/>
  </r>
  <r>
    <n v="4"/>
    <x v="3"/>
    <x v="0"/>
    <n v="67"/>
    <n v="57.45"/>
    <n v="2129"/>
    <n v="1290"/>
    <n v="54.81"/>
    <n v="50.1"/>
    <n v="98"/>
    <n v="112.2"/>
    <n v="113.4"/>
  </r>
  <r>
    <n v="5"/>
    <x v="4"/>
    <x v="0"/>
    <n v="57.65"/>
    <n v="59.51"/>
    <n v="2044"/>
    <n v="1710"/>
    <n v="67.06"/>
    <n v="49"/>
    <n v="82"/>
    <n v="112.3"/>
    <n v="117.2"/>
  </r>
  <r>
    <n v="6"/>
    <x v="5"/>
    <x v="0"/>
    <n v="52.97"/>
    <n v="51.27"/>
    <n v="2739"/>
    <n v="2190"/>
    <n v="58.25"/>
    <n v="45.4"/>
    <n v="63"/>
    <n v="123.3"/>
    <n v="168"/>
  </r>
  <r>
    <n v="7"/>
    <x v="6"/>
    <x v="0"/>
    <n v="56.57"/>
    <n v="53.28"/>
    <n v="2337"/>
    <n v="1740"/>
    <n v="63.45"/>
    <n v="52.7"/>
    <n v="94"/>
    <n v="114.6"/>
    <n v="136.9"/>
  </r>
  <r>
    <n v="8"/>
    <x v="7"/>
    <x v="1"/>
    <n v="55.24"/>
    <n v="52.84"/>
    <n v="1646"/>
    <n v="2260"/>
    <n v="56.69"/>
    <n v="55.3"/>
    <n v="97"/>
    <n v="100.8"/>
    <n v="97.4"/>
  </r>
  <r>
    <n v="9"/>
    <x v="8"/>
    <x v="1"/>
    <n v="60.39"/>
    <n v="53.87"/>
    <n v="1859"/>
    <n v="2500"/>
    <n v="63.6"/>
    <n v="54.2"/>
    <n v="105"/>
    <n v="115.3"/>
    <n v="135.80000000000001"/>
  </r>
  <r>
    <n v="10"/>
    <x v="9"/>
    <x v="1"/>
    <n v="58.02"/>
    <n v="54.19"/>
    <n v="1972"/>
    <n v="1890"/>
    <n v="57.81"/>
    <n v="55.1"/>
    <n v="100"/>
    <n v="100.7"/>
    <n v="104.5"/>
  </r>
  <r>
    <n v="11"/>
    <x v="10"/>
    <x v="1"/>
    <n v="50.82"/>
    <n v="51.5"/>
    <n v="1524"/>
    <n v="2460"/>
    <n v="48.04"/>
    <n v="59"/>
    <n v="109"/>
    <n v="97.8"/>
    <n v="93.3"/>
  </r>
  <r>
    <n v="12"/>
    <x v="11"/>
    <x v="1"/>
    <n v="53.21"/>
    <n v="43.32"/>
    <n v="1594"/>
    <n v="2660"/>
    <n v="42.92"/>
    <n v="62.4"/>
    <n v="115"/>
    <n v="95.9"/>
    <n v="86.7"/>
  </r>
  <r>
    <n v="13"/>
    <x v="12"/>
    <x v="1"/>
    <n v="48.61"/>
    <n v="42.92"/>
    <n v="1608"/>
    <n v="2180"/>
    <n v="47.42"/>
    <n v="63.5"/>
    <n v="112"/>
    <n v="91.3"/>
    <n v="79.2"/>
  </r>
  <r>
    <n v="14"/>
    <x v="13"/>
    <x v="1"/>
    <n v="50.77"/>
    <n v="37.659999999999997"/>
    <n v="1955"/>
    <n v="1810"/>
    <n v="57.33"/>
    <n v="70.7"/>
    <n v="101"/>
    <n v="102.8"/>
    <n v="108.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2747AF-9585-44B0-B987-B4639BF184C1}" name="PivotTable2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States">
  <location ref="K18:M32" firstHeaderRow="0" firstDataRow="1" firstDataCol="1"/>
  <pivotFields count="12">
    <pivotField showAll="0"/>
    <pivotField axis="axisRow" showAll="0" sortType="descending">
      <items count="15">
        <item x="4"/>
        <item x="7"/>
        <item x="13"/>
        <item x="12"/>
        <item x="0"/>
        <item x="8"/>
        <item x="2"/>
        <item x="1"/>
        <item x="6"/>
        <item x="5"/>
        <item x="10"/>
        <item x="3"/>
        <item x="11"/>
        <item x="9"/>
        <item t="default"/>
      </items>
      <autoSortScope>
        <pivotArea dataOnly="0" outline="0" fieldPosition="0">
          <references count="1">
            <reference field="4294967294" count="1" selected="0">
              <x v="1"/>
            </reference>
          </references>
        </pivotArea>
      </autoSortScope>
    </pivotField>
    <pivotField showAll="0">
      <items count="3">
        <item x="0"/>
        <item x="1"/>
        <item t="default"/>
      </items>
    </pivotField>
    <pivotField showAll="0"/>
    <pivotField showAll="0"/>
    <pivotField numFmtId="164" showAll="0"/>
    <pivotField showAll="0"/>
    <pivotField showAll="0"/>
    <pivotField dataField="1" showAll="0"/>
    <pivotField dataField="1" showAll="0"/>
    <pivotField showAll="0"/>
    <pivotField showAll="0"/>
  </pivotFields>
  <rowFields count="1">
    <field x="1"/>
  </rowFields>
  <rowItems count="14">
    <i>
      <x v="2"/>
    </i>
    <i>
      <x v="3"/>
    </i>
    <i>
      <x v="12"/>
    </i>
    <i>
      <x v="10"/>
    </i>
    <i>
      <x v="1"/>
    </i>
    <i>
      <x v="13"/>
    </i>
    <i>
      <x v="5"/>
    </i>
    <i>
      <x v="8"/>
    </i>
    <i>
      <x v="11"/>
    </i>
    <i>
      <x/>
    </i>
    <i>
      <x v="6"/>
    </i>
    <i>
      <x v="9"/>
    </i>
    <i>
      <x v="7"/>
    </i>
    <i>
      <x v="4"/>
    </i>
  </rowItems>
  <colFields count="1">
    <field x="-2"/>
  </colFields>
  <colItems count="2">
    <i>
      <x/>
    </i>
    <i i="1">
      <x v="1"/>
    </i>
  </colItems>
  <dataFields count="2">
    <dataField name=" Avg Clear/Sunny Day (Annually)" fld="9" baseField="0" baseItem="0"/>
    <dataField name=" Avg Annual Temp. " fld="8" baseField="0" baseItem="0"/>
  </dataFields>
  <formats count="44">
    <format dxfId="196">
      <pivotArea type="all" dataOnly="0" outline="0" fieldPosition="0"/>
    </format>
    <format dxfId="195">
      <pivotArea outline="0" collapsedLevelsAreSubtotals="1" fieldPosition="0"/>
    </format>
    <format dxfId="194">
      <pivotArea dataOnly="0" labelOnly="1" fieldPosition="0">
        <references count="1">
          <reference field="1" count="0"/>
        </references>
      </pivotArea>
    </format>
    <format dxfId="193">
      <pivotArea type="all" dataOnly="0" outline="0" fieldPosition="0"/>
    </format>
    <format dxfId="192">
      <pivotArea outline="0" collapsedLevelsAreSubtotals="1" fieldPosition="0"/>
    </format>
    <format dxfId="191">
      <pivotArea dataOnly="0" labelOnly="1" fieldPosition="0">
        <references count="1">
          <reference field="1" count="0"/>
        </references>
      </pivotArea>
    </format>
    <format dxfId="190">
      <pivotArea field="1" type="button" dataOnly="0" labelOnly="1" outline="0" axis="axisRow" fieldPosition="0"/>
    </format>
    <format dxfId="189">
      <pivotArea dataOnly="0" labelOnly="1" outline="0" fieldPosition="0">
        <references count="1">
          <reference field="4294967294" count="2">
            <x v="0"/>
            <x v="1"/>
          </reference>
        </references>
      </pivotArea>
    </format>
    <format dxfId="188">
      <pivotArea field="1" type="button" dataOnly="0" labelOnly="1" outline="0" axis="axisRow" fieldPosition="0"/>
    </format>
    <format dxfId="187">
      <pivotArea dataOnly="0" labelOnly="1" outline="0" fieldPosition="0">
        <references count="1">
          <reference field="4294967294" count="2">
            <x v="0"/>
            <x v="1"/>
          </reference>
        </references>
      </pivotArea>
    </format>
    <format dxfId="186">
      <pivotArea outline="0" collapsedLevelsAreSubtotals="1" fieldPosition="0">
        <references count="1">
          <reference field="4294967294" count="1" selected="0">
            <x v="0"/>
          </reference>
        </references>
      </pivotArea>
    </format>
    <format dxfId="185">
      <pivotArea outline="0" collapsedLevelsAreSubtotals="1" fieldPosition="0"/>
    </format>
    <format dxfId="184">
      <pivotArea dataOnly="0" labelOnly="1" fieldPosition="0">
        <references count="1">
          <reference field="1" count="0"/>
        </references>
      </pivotArea>
    </format>
    <format dxfId="183">
      <pivotArea outline="0" collapsedLevelsAreSubtotals="1" fieldPosition="0">
        <references count="1">
          <reference field="4294967294" count="1" selected="0">
            <x v="0"/>
          </reference>
        </references>
      </pivotArea>
    </format>
    <format dxfId="182">
      <pivotArea outline="0" collapsedLevelsAreSubtotals="1" fieldPosition="0">
        <references count="1">
          <reference field="4294967294" count="1" selected="0">
            <x v="0"/>
          </reference>
        </references>
      </pivotArea>
    </format>
    <format dxfId="181">
      <pivotArea outline="0" collapsedLevelsAreSubtotals="1" fieldPosition="0">
        <references count="1">
          <reference field="4294967294" count="1" selected="0">
            <x v="0"/>
          </reference>
        </references>
      </pivotArea>
    </format>
    <format dxfId="180">
      <pivotArea outline="0" collapsedLevelsAreSubtotals="1" fieldPosition="0">
        <references count="1">
          <reference field="4294967294" count="1" selected="0">
            <x v="0"/>
          </reference>
        </references>
      </pivotArea>
    </format>
    <format dxfId="179">
      <pivotArea outline="0" collapsedLevelsAreSubtotals="1" fieldPosition="0">
        <references count="1">
          <reference field="4294967294" count="1" selected="0">
            <x v="0"/>
          </reference>
        </references>
      </pivotArea>
    </format>
    <format dxfId="178">
      <pivotArea outline="0" collapsedLevelsAreSubtotals="1" fieldPosition="0">
        <references count="1">
          <reference field="4294967294" count="1" selected="0">
            <x v="0"/>
          </reference>
        </references>
      </pivotArea>
    </format>
    <format dxfId="177">
      <pivotArea outline="0" collapsedLevelsAreSubtotals="1" fieldPosition="0">
        <references count="1">
          <reference field="4294967294" count="1" selected="0">
            <x v="0"/>
          </reference>
        </references>
      </pivotArea>
    </format>
    <format dxfId="176">
      <pivotArea type="all" dataOnly="0" outline="0" fieldPosition="0"/>
    </format>
    <format dxfId="175">
      <pivotArea field="1" type="button" dataOnly="0" labelOnly="1" outline="0" axis="axisRow" fieldPosition="0"/>
    </format>
    <format dxfId="174">
      <pivotArea dataOnly="0" labelOnly="1" outline="0" fieldPosition="0">
        <references count="1">
          <reference field="4294967294" count="2">
            <x v="0"/>
            <x v="1"/>
          </reference>
        </references>
      </pivotArea>
    </format>
    <format dxfId="173">
      <pivotArea field="1" type="button" dataOnly="0" labelOnly="1" outline="0" axis="axisRow" fieldPosition="0"/>
    </format>
    <format dxfId="172">
      <pivotArea dataOnly="0" labelOnly="1" outline="0" fieldPosition="0">
        <references count="1">
          <reference field="4294967294" count="2">
            <x v="0"/>
            <x v="1"/>
          </reference>
        </references>
      </pivotArea>
    </format>
    <format dxfId="171">
      <pivotArea field="1" type="button" dataOnly="0" labelOnly="1" outline="0" axis="axisRow" fieldPosition="0"/>
    </format>
    <format dxfId="170">
      <pivotArea dataOnly="0" labelOnly="1" outline="0" fieldPosition="0">
        <references count="1">
          <reference field="4294967294" count="2">
            <x v="0"/>
            <x v="1"/>
          </reference>
        </references>
      </pivotArea>
    </format>
    <format dxfId="169">
      <pivotArea field="1" type="button" dataOnly="0" labelOnly="1" outline="0" axis="axisRow" fieldPosition="0"/>
    </format>
    <format dxfId="168">
      <pivotArea dataOnly="0" labelOnly="1" outline="0" fieldPosition="0">
        <references count="1">
          <reference field="4294967294" count="2">
            <x v="0"/>
            <x v="1"/>
          </reference>
        </references>
      </pivotArea>
    </format>
    <format dxfId="167">
      <pivotArea type="all" dataOnly="0" outline="0" fieldPosition="0"/>
    </format>
    <format dxfId="166">
      <pivotArea outline="0" collapsedLevelsAreSubtotals="1" fieldPosition="0"/>
    </format>
    <format dxfId="165">
      <pivotArea dataOnly="0" labelOnly="1" fieldPosition="0">
        <references count="1">
          <reference field="1" count="0"/>
        </references>
      </pivotArea>
    </format>
    <format dxfId="164">
      <pivotArea field="1" type="button" dataOnly="0" labelOnly="1" outline="0" axis="axisRow" fieldPosition="0"/>
    </format>
    <format dxfId="163">
      <pivotArea dataOnly="0" labelOnly="1" outline="0" fieldPosition="0">
        <references count="1">
          <reference field="4294967294" count="2">
            <x v="0"/>
            <x v="1"/>
          </reference>
        </references>
      </pivotArea>
    </format>
    <format dxfId="162">
      <pivotArea outline="0" collapsedLevelsAreSubtotals="1" fieldPosition="0"/>
    </format>
    <format dxfId="161">
      <pivotArea dataOnly="0" labelOnly="1" fieldPosition="0">
        <references count="1">
          <reference field="1" count="0"/>
        </references>
      </pivotArea>
    </format>
    <format dxfId="160">
      <pivotArea field="1" type="button" dataOnly="0" labelOnly="1" outline="0" axis="axisRow" fieldPosition="0"/>
    </format>
    <format dxfId="159">
      <pivotArea dataOnly="0" labelOnly="1" outline="0" fieldPosition="0">
        <references count="1">
          <reference field="4294967294" count="2">
            <x v="0"/>
            <x v="1"/>
          </reference>
        </references>
      </pivotArea>
    </format>
    <format dxfId="158">
      <pivotArea dataOnly="0" labelOnly="1" fieldPosition="0">
        <references count="1">
          <reference field="1" count="0"/>
        </references>
      </pivotArea>
    </format>
    <format dxfId="157">
      <pivotArea outline="0" collapsedLevelsAreSubtotals="1" fieldPosition="0">
        <references count="1">
          <reference field="4294967294" count="1" selected="0">
            <x v="1"/>
          </reference>
        </references>
      </pivotArea>
    </format>
    <format dxfId="156">
      <pivotArea outline="0" collapsedLevelsAreSubtotals="1" fieldPosition="0">
        <references count="1">
          <reference field="4294967294" count="1" selected="0">
            <x v="0"/>
          </reference>
        </references>
      </pivotArea>
    </format>
    <format dxfId="155">
      <pivotArea outline="0" collapsedLevelsAreSubtotals="1" fieldPosition="0">
        <references count="1">
          <reference field="4294967294" count="1" selected="0">
            <x v="1"/>
          </reference>
        </references>
      </pivotArea>
    </format>
    <format dxfId="154">
      <pivotArea outline="0" collapsedLevelsAreSubtotals="1" fieldPosition="0">
        <references count="1">
          <reference field="4294967294" count="1" selected="0">
            <x v="0"/>
          </reference>
        </references>
      </pivotArea>
    </format>
    <format dxfId="153">
      <pivotArea outline="0" collapsedLevelsAreSubtotals="1" fieldPosition="0">
        <references count="1">
          <reference field="4294967294" count="1" selected="0">
            <x v="0"/>
          </reference>
        </references>
      </pivotArea>
    </format>
  </formats>
  <conditionalFormats count="2">
    <conditionalFormat priority="13">
      <pivotAreas count="1">
        <pivotArea type="data" outline="0" collapsedLevelsAreSubtotals="1" fieldPosition="0">
          <references count="1">
            <reference field="4294967294" count="1" selected="0">
              <x v="1"/>
            </reference>
          </references>
        </pivotArea>
      </pivotAreas>
    </conditionalFormat>
    <conditionalFormat priority="14">
      <pivotAreas count="1">
        <pivotArea type="data" outline="0" collapsedLevelsAreSubtotals="1" fieldPosition="0">
          <references count="1">
            <reference field="4294967294" count="1" selected="0">
              <x v="0"/>
            </reference>
          </references>
        </pivotArea>
      </pivotAreas>
    </conditionalFormat>
  </conditional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8D6BC8-C2B3-4B57-9257-AEB0DF7E81AE}" name="Healthcare by State"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tate">
  <location ref="L36:M50" firstHeaderRow="1" firstDataRow="1" firstDataCol="1"/>
  <pivotFields count="12">
    <pivotField showAll="0"/>
    <pivotField axis="axisRow" showAll="0" sortType="descending">
      <items count="15">
        <item x="4"/>
        <item x="7"/>
        <item x="13"/>
        <item x="12"/>
        <item x="0"/>
        <item x="8"/>
        <item x="2"/>
        <item x="1"/>
        <item x="6"/>
        <item x="5"/>
        <item x="10"/>
        <item x="3"/>
        <item x="11"/>
        <item x="9"/>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dataField="1" showAll="0"/>
    <pivotField showAll="0"/>
    <pivotField numFmtId="164" showAll="0"/>
    <pivotField showAll="0"/>
    <pivotField showAll="0"/>
    <pivotField showAll="0"/>
    <pivotField showAll="0"/>
    <pivotField showAll="0"/>
    <pivotField showAll="0"/>
  </pivotFields>
  <rowFields count="1">
    <field x="1"/>
  </rowFields>
  <rowItems count="14">
    <i>
      <x v="11"/>
    </i>
    <i>
      <x v="7"/>
    </i>
    <i>
      <x v="6"/>
    </i>
    <i>
      <x v="4"/>
    </i>
    <i>
      <x v="5"/>
    </i>
    <i>
      <x v="13"/>
    </i>
    <i>
      <x/>
    </i>
    <i>
      <x v="8"/>
    </i>
    <i>
      <x v="1"/>
    </i>
    <i>
      <x v="12"/>
    </i>
    <i>
      <x v="9"/>
    </i>
    <i>
      <x v="10"/>
    </i>
    <i>
      <x v="2"/>
    </i>
    <i>
      <x v="3"/>
    </i>
  </rowItems>
  <colItems count="1">
    <i/>
  </colItems>
  <dataFields count="1">
    <dataField name="Healthcare score " fld="3" baseField="1" baseItem="0"/>
  </dataFields>
  <formats count="52">
    <format dxfId="248">
      <pivotArea dataOnly="0" fieldPosition="0">
        <references count="1">
          <reference field="1" count="1">
            <x v="11"/>
          </reference>
        </references>
      </pivotArea>
    </format>
    <format dxfId="247">
      <pivotArea dataOnly="0" fieldPosition="0">
        <references count="1">
          <reference field="1" count="1">
            <x v="11"/>
          </reference>
        </references>
      </pivotArea>
    </format>
    <format dxfId="246">
      <pivotArea type="all" dataOnly="0" outline="0" fieldPosition="0"/>
    </format>
    <format dxfId="245">
      <pivotArea dataOnly="0" fieldPosition="0">
        <references count="1">
          <reference field="1" count="1">
            <x v="11"/>
          </reference>
        </references>
      </pivotArea>
    </format>
    <format dxfId="244">
      <pivotArea dataOnly="0" fieldPosition="0">
        <references count="1">
          <reference field="1" count="1">
            <x v="11"/>
          </reference>
        </references>
      </pivotArea>
    </format>
    <format dxfId="243">
      <pivotArea type="all" dataOnly="0" outline="0" fieldPosition="0"/>
    </format>
    <format dxfId="242">
      <pivotArea outline="0" collapsedLevelsAreSubtotals="1" fieldPosition="0"/>
    </format>
    <format dxfId="241">
      <pivotArea field="1" type="button" dataOnly="0" labelOnly="1" outline="0" axis="axisRow" fieldPosition="0"/>
    </format>
    <format dxfId="240">
      <pivotArea dataOnly="0" labelOnly="1" fieldPosition="0">
        <references count="1">
          <reference field="1" count="0"/>
        </references>
      </pivotArea>
    </format>
    <format dxfId="239">
      <pivotArea dataOnly="0" labelOnly="1" outline="0" axis="axisValues" fieldPosition="0"/>
    </format>
    <format dxfId="238">
      <pivotArea dataOnly="0" labelOnly="1" fieldPosition="0">
        <references count="1">
          <reference field="1" count="0"/>
        </references>
      </pivotArea>
    </format>
    <format dxfId="237">
      <pivotArea field="1" type="button" dataOnly="0" labelOnly="1" outline="0" axis="axisRow" fieldPosition="0"/>
    </format>
    <format dxfId="236">
      <pivotArea dataOnly="0" labelOnly="1" fieldPosition="0">
        <references count="1">
          <reference field="1" count="0"/>
        </references>
      </pivotArea>
    </format>
    <format dxfId="235">
      <pivotArea dataOnly="0" labelOnly="1" fieldPosition="0">
        <references count="1">
          <reference field="1" count="0"/>
        </references>
      </pivotArea>
    </format>
    <format dxfId="234">
      <pivotArea dataOnly="0" labelOnly="1" outline="0" axis="axisValues" fieldPosition="0"/>
    </format>
    <format dxfId="233">
      <pivotArea outline="0" collapsedLevelsAreSubtotals="1" fieldPosition="0"/>
    </format>
    <format dxfId="232">
      <pivotArea outline="0" collapsedLevelsAreSubtotals="1" fieldPosition="0"/>
    </format>
    <format dxfId="231">
      <pivotArea outline="0" collapsedLevelsAreSubtotals="1" fieldPosition="0"/>
    </format>
    <format dxfId="230">
      <pivotArea outline="0" collapsedLevelsAreSubtotals="1" fieldPosition="0"/>
    </format>
    <format dxfId="229">
      <pivotArea dataOnly="0" labelOnly="1" fieldPosition="0">
        <references count="1">
          <reference field="1" count="0"/>
        </references>
      </pivotArea>
    </format>
    <format dxfId="228">
      <pivotArea field="1" type="button" dataOnly="0" labelOnly="1" outline="0" axis="axisRow" fieldPosition="0"/>
    </format>
    <format dxfId="227">
      <pivotArea dataOnly="0" labelOnly="1" outline="0" axis="axisValues" fieldPosition="0"/>
    </format>
    <format dxfId="226">
      <pivotArea field="1" type="button" dataOnly="0" labelOnly="1" outline="0" axis="axisRow" fieldPosition="0"/>
    </format>
    <format dxfId="225">
      <pivotArea dataOnly="0" labelOnly="1" outline="0" axis="axisValues" fieldPosition="0"/>
    </format>
    <format dxfId="224">
      <pivotArea field="1" type="button" dataOnly="0" labelOnly="1" outline="0" axis="axisRow" fieldPosition="0"/>
    </format>
    <format dxfId="223">
      <pivotArea dataOnly="0" labelOnly="1" outline="0" axis="axisValues" fieldPosition="0"/>
    </format>
    <format dxfId="222">
      <pivotArea dataOnly="0" labelOnly="1" fieldPosition="0">
        <references count="1">
          <reference field="1" count="0"/>
        </references>
      </pivotArea>
    </format>
    <format dxfId="221">
      <pivotArea field="1" type="button" dataOnly="0" labelOnly="1" outline="0" axis="axisRow" fieldPosition="0"/>
    </format>
    <format dxfId="220">
      <pivotArea dataOnly="0" labelOnly="1" outline="0" axis="axisValues" fieldPosition="0"/>
    </format>
    <format dxfId="219">
      <pivotArea outline="0" collapsedLevelsAreSubtotals="1" fieldPosition="0"/>
    </format>
    <format dxfId="218">
      <pivotArea type="all" dataOnly="0" outline="0" fieldPosition="0"/>
    </format>
    <format dxfId="217">
      <pivotArea outline="0" collapsedLevelsAreSubtotals="1" fieldPosition="0"/>
    </format>
    <format dxfId="216">
      <pivotArea field="1" type="button" dataOnly="0" labelOnly="1" outline="0" axis="axisRow" fieldPosition="0"/>
    </format>
    <format dxfId="215">
      <pivotArea dataOnly="0" labelOnly="1" fieldPosition="0">
        <references count="1">
          <reference field="1" count="0"/>
        </references>
      </pivotArea>
    </format>
    <format dxfId="214">
      <pivotArea dataOnly="0" labelOnly="1" outline="0" axis="axisValues" fieldPosition="0"/>
    </format>
    <format dxfId="213">
      <pivotArea type="all" dataOnly="0" outline="0" fieldPosition="0"/>
    </format>
    <format dxfId="212">
      <pivotArea outline="0" collapsedLevelsAreSubtotals="1" fieldPosition="0"/>
    </format>
    <format dxfId="211">
      <pivotArea dataOnly="0" labelOnly="1" fieldPosition="0">
        <references count="1">
          <reference field="1" count="0"/>
        </references>
      </pivotArea>
    </format>
    <format dxfId="210">
      <pivotArea field="1" type="button" dataOnly="0" labelOnly="1" outline="0" axis="axisRow" fieldPosition="0"/>
    </format>
    <format dxfId="209">
      <pivotArea dataOnly="0" labelOnly="1" outline="0" axis="axisValues" fieldPosition="0"/>
    </format>
    <format dxfId="208">
      <pivotArea field="1" type="button" dataOnly="0" labelOnly="1" outline="0" axis="axisRow" fieldPosition="0"/>
    </format>
    <format dxfId="207">
      <pivotArea dataOnly="0" labelOnly="1" outline="0" axis="axisValues" fieldPosition="0"/>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fieldPosition="0">
        <references count="1">
          <reference field="1" count="0"/>
        </references>
      </pivotArea>
    </format>
    <format dxfId="202">
      <pivotArea dataOnly="0" labelOnly="1" outline="0" axis="axisValues" fieldPosition="0"/>
    </format>
    <format dxfId="201">
      <pivotArea type="all" dataOnly="0" outline="0" fieldPosition="0"/>
    </format>
    <format dxfId="200">
      <pivotArea outline="0" collapsedLevelsAreSubtotals="1" fieldPosition="0"/>
    </format>
    <format dxfId="199">
      <pivotArea field="1" type="button" dataOnly="0" labelOnly="1" outline="0" axis="axisRow" fieldPosition="0"/>
    </format>
    <format dxfId="198">
      <pivotArea dataOnly="0" labelOnly="1" fieldPosition="0">
        <references count="1">
          <reference field="1" count="0"/>
        </references>
      </pivotArea>
    </format>
    <format dxfId="197">
      <pivotArea dataOnly="0" labelOnly="1" outline="0" axis="axisValues" fieldPosition="0"/>
    </format>
  </formats>
  <pivotTableStyleInfo name="PivotStyleDark2" showRowHeaders="1" showColHeaders="1" showRowStripes="1"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5" id="{51B00DED-A8E2-415C-824F-5C9B78F8E4B4}">
            <x14:pivotAreas count="1">
              <pivotArea type="data" outline="0" collapsedLevelsAreSubtotals="1" fieldPosition="0">
                <references count="1">
                  <reference field="4294967294" count="1" selected="0">
                    <x v="0"/>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24582B-F43D-44F6-B680-A817FA3CE92B}" name="AvgRent"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0" rowHeaderCaption="States">
  <location ref="H19:I33" firstHeaderRow="1" firstDataRow="1" firstDataCol="1"/>
  <pivotFields count="12">
    <pivotField showAll="0"/>
    <pivotField axis="axisRow" showAll="0" sortType="ascending">
      <items count="15">
        <item x="4"/>
        <item x="7"/>
        <item x="13"/>
        <item x="12"/>
        <item x="0"/>
        <item x="8"/>
        <item x="2"/>
        <item x="1"/>
        <item x="6"/>
        <item x="5"/>
        <item x="10"/>
        <item x="3"/>
        <item x="11"/>
        <item x="9"/>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dataField="1" numFmtId="164" showAll="0"/>
    <pivotField showAll="0"/>
    <pivotField showAll="0"/>
    <pivotField showAll="0"/>
    <pivotField showAll="0"/>
    <pivotField showAll="0"/>
    <pivotField showAll="0"/>
  </pivotFields>
  <rowFields count="1">
    <field x="1"/>
  </rowFields>
  <rowItems count="14">
    <i>
      <x v="10"/>
    </i>
    <i>
      <x v="12"/>
    </i>
    <i>
      <x v="3"/>
    </i>
    <i>
      <x v="1"/>
    </i>
    <i>
      <x v="5"/>
    </i>
    <i>
      <x v="2"/>
    </i>
    <i>
      <x v="4"/>
    </i>
    <i>
      <x v="13"/>
    </i>
    <i>
      <x/>
    </i>
    <i>
      <x v="7"/>
    </i>
    <i>
      <x v="11"/>
    </i>
    <i>
      <x v="8"/>
    </i>
    <i>
      <x v="9"/>
    </i>
    <i>
      <x v="6"/>
    </i>
  </rowItems>
  <colItems count="1">
    <i/>
  </colItems>
  <dataFields count="1">
    <dataField name="Average Housing Rent (Monthly) " fld="5" baseField="0" baseItem="0" numFmtId="164"/>
  </dataFields>
  <formats count="17">
    <format dxfId="111">
      <pivotArea type="all" dataOnly="0" outline="0" fieldPosition="0"/>
    </format>
    <format dxfId="110">
      <pivotArea outline="0" collapsedLevelsAreSubtotals="1" fieldPosition="0"/>
    </format>
    <format dxfId="109">
      <pivotArea field="1" type="button" dataOnly="0" labelOnly="1" outline="0" axis="axisRow" fieldPosition="0"/>
    </format>
    <format dxfId="108">
      <pivotArea dataOnly="0" labelOnly="1" fieldPosition="0">
        <references count="1">
          <reference field="1" count="0"/>
        </references>
      </pivotArea>
    </format>
    <format dxfId="107">
      <pivotArea dataOnly="0" labelOnly="1" outline="0" axis="axisValues" fieldPosition="0"/>
    </format>
    <format dxfId="106">
      <pivotArea type="all" dataOnly="0" outline="0" fieldPosition="0"/>
    </format>
    <format dxfId="105">
      <pivotArea dataOnly="0" labelOnly="1" fieldPosition="0">
        <references count="1">
          <reference field="1" count="0"/>
        </references>
      </pivotArea>
    </format>
    <format dxfId="104">
      <pivotArea type="all" dataOnly="0" outline="0" fieldPosition="0"/>
    </format>
    <format dxfId="103">
      <pivotArea outline="0" collapsedLevelsAreSubtotals="1" fieldPosition="0"/>
    </format>
    <format dxfId="102">
      <pivotArea dataOnly="0" labelOnly="1" fieldPosition="0">
        <references count="1">
          <reference field="1" count="0"/>
        </references>
      </pivotArea>
    </format>
    <format dxfId="101">
      <pivotArea field="1" type="button" dataOnly="0" labelOnly="1" outline="0" axis="axisRow" fieldPosition="0"/>
    </format>
    <format dxfId="100">
      <pivotArea dataOnly="0" labelOnly="1" outline="0" axis="axisValues" fieldPosition="0"/>
    </format>
    <format dxfId="99">
      <pivotArea field="1" type="button" dataOnly="0" labelOnly="1" outline="0" axis="axisRow" fieldPosition="0"/>
    </format>
    <format dxfId="98">
      <pivotArea outline="0" collapsedLevelsAreSubtotals="1" fieldPosition="0"/>
    </format>
    <format dxfId="97">
      <pivotArea dataOnly="0" labelOnly="1" outline="0" axis="axisValues" fieldPosition="0"/>
    </format>
    <format dxfId="96">
      <pivotArea outline="0" fieldPosition="0">
        <references count="1">
          <reference field="4294967294" count="1">
            <x v="0"/>
          </reference>
        </references>
      </pivotArea>
    </format>
    <format dxfId="95">
      <pivotArea dataOnly="0" labelOnly="1" fieldPosition="0">
        <references count="1">
          <reference field="1" count="1">
            <x v="0"/>
          </reference>
        </references>
      </pivotArea>
    </format>
  </formats>
  <chartFormats count="1">
    <chartFormat chart="6" format="1"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8332B8-DB7A-4141-A6F6-D77B46D9B28D}" name="Housingindexvscol"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4" rowHeaderCaption="States">
  <location ref="D19:F33" firstHeaderRow="0" firstDataRow="1" firstDataCol="1"/>
  <pivotFields count="12">
    <pivotField showAll="0"/>
    <pivotField axis="axisRow" showAll="0">
      <items count="15">
        <item x="4"/>
        <item x="7"/>
        <item x="13"/>
        <item x="12"/>
        <item x="0"/>
        <item x="8"/>
        <item x="2"/>
        <item x="1"/>
        <item x="6"/>
        <item x="5"/>
        <item x="10"/>
        <item x="3"/>
        <item x="11"/>
        <item x="9"/>
        <item t="default"/>
      </items>
    </pivotField>
    <pivotField showAll="0">
      <items count="3">
        <item x="0"/>
        <item x="1"/>
        <item t="default"/>
      </items>
    </pivotField>
    <pivotField showAll="0"/>
    <pivotField showAll="0"/>
    <pivotField numFmtId="164" showAll="0"/>
    <pivotField showAll="0"/>
    <pivotField showAll="0"/>
    <pivotField showAll="0"/>
    <pivotField showAll="0"/>
    <pivotField dataField="1" showAll="0"/>
    <pivotField dataField="1" showAll="0"/>
  </pivotFields>
  <rowFields count="1">
    <field x="1"/>
  </rowFields>
  <rowItems count="14">
    <i>
      <x/>
    </i>
    <i>
      <x v="1"/>
    </i>
    <i>
      <x v="2"/>
    </i>
    <i>
      <x v="3"/>
    </i>
    <i>
      <x v="4"/>
    </i>
    <i>
      <x v="5"/>
    </i>
    <i>
      <x v="6"/>
    </i>
    <i>
      <x v="7"/>
    </i>
    <i>
      <x v="8"/>
    </i>
    <i>
      <x v="9"/>
    </i>
    <i>
      <x v="10"/>
    </i>
    <i>
      <x v="11"/>
    </i>
    <i>
      <x v="12"/>
    </i>
    <i>
      <x v="13"/>
    </i>
  </rowItems>
  <colFields count="1">
    <field x="-2"/>
  </colFields>
  <colItems count="2">
    <i>
      <x/>
    </i>
    <i i="1">
      <x v="1"/>
    </i>
  </colItems>
  <dataFields count="2">
    <dataField name="Housing index " fld="11" baseField="0" baseItem="0"/>
    <dataField name="Cost of Living " fld="10" baseField="0" baseItem="0"/>
  </dataFields>
  <formats count="15">
    <format dxfId="126">
      <pivotArea type="all" dataOnly="0" outline="0" fieldPosition="0"/>
    </format>
    <format dxfId="125">
      <pivotArea outline="0" collapsedLevelsAreSubtotals="1" fieldPosition="0"/>
    </format>
    <format dxfId="124">
      <pivotArea field="1" type="button" dataOnly="0" labelOnly="1" outline="0" axis="axisRow" fieldPosition="0"/>
    </format>
    <format dxfId="123">
      <pivotArea dataOnly="0" labelOnly="1" fieldPosition="0">
        <references count="1">
          <reference field="1" count="0"/>
        </references>
      </pivotArea>
    </format>
    <format dxfId="122">
      <pivotArea dataOnly="0" labelOnly="1" outline="0" fieldPosition="0">
        <references count="1">
          <reference field="4294967294" count="2">
            <x v="0"/>
            <x v="1"/>
          </reference>
        </references>
      </pivotArea>
    </format>
    <format dxfId="121">
      <pivotArea type="all" dataOnly="0" outline="0" fieldPosition="0"/>
    </format>
    <format dxfId="120">
      <pivotArea dataOnly="0" labelOnly="1" fieldPosition="0">
        <references count="1">
          <reference field="1" count="0"/>
        </references>
      </pivotArea>
    </format>
    <format dxfId="119">
      <pivotArea type="all" dataOnly="0" outline="0" fieldPosition="0"/>
    </format>
    <format dxfId="118">
      <pivotArea outline="0" collapsedLevelsAreSubtotals="1" fieldPosition="0"/>
    </format>
    <format dxfId="117">
      <pivotArea dataOnly="0" labelOnly="1" fieldPosition="0">
        <references count="1">
          <reference field="1" count="0"/>
        </references>
      </pivotArea>
    </format>
    <format dxfId="116">
      <pivotArea field="1" type="button" dataOnly="0" labelOnly="1" outline="0" axis="axisRow" fieldPosition="0"/>
    </format>
    <format dxfId="115">
      <pivotArea dataOnly="0" labelOnly="1" outline="0" fieldPosition="0">
        <references count="1">
          <reference field="4294967294" count="2">
            <x v="0"/>
            <x v="1"/>
          </reference>
        </references>
      </pivotArea>
    </format>
    <format dxfId="114">
      <pivotArea outline="0" collapsedLevelsAreSubtotals="1" fieldPosition="0"/>
    </format>
    <format dxfId="113">
      <pivotArea dataOnly="0" labelOnly="1" outline="0" fieldPosition="0">
        <references count="1">
          <reference field="4294967294" count="2">
            <x v="0"/>
            <x v="1"/>
          </reference>
        </references>
      </pivotArea>
    </format>
    <format dxfId="112">
      <pivotArea field="1" type="button" dataOnly="0" labelOnly="1" outline="0" axis="axisRow" fieldPosition="0"/>
    </format>
  </formats>
  <chartFormats count="2">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363972-C569-4390-A0FD-A43C99042E28}" name="Education"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0" rowHeaderCaption="States">
  <location ref="A19:B33" firstHeaderRow="1" firstDataRow="1" firstDataCol="1"/>
  <pivotFields count="12">
    <pivotField showAll="0"/>
    <pivotField axis="axisRow" showAll="0" sortType="descending">
      <items count="15">
        <item x="4"/>
        <item x="7"/>
        <item x="13"/>
        <item x="12"/>
        <item x="0"/>
        <item x="8"/>
        <item x="2"/>
        <item x="1"/>
        <item x="6"/>
        <item x="5"/>
        <item x="10"/>
        <item x="3"/>
        <item x="11"/>
        <item x="9"/>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numFmtId="164" showAll="0"/>
    <pivotField showAll="0"/>
    <pivotField dataField="1" showAll="0"/>
    <pivotField showAll="0"/>
    <pivotField showAll="0"/>
    <pivotField showAll="0"/>
    <pivotField showAll="0"/>
  </pivotFields>
  <rowFields count="1">
    <field x="1"/>
  </rowFields>
  <rowItems count="14">
    <i>
      <x v="6"/>
    </i>
    <i>
      <x/>
    </i>
    <i>
      <x v="5"/>
    </i>
    <i>
      <x v="8"/>
    </i>
    <i>
      <x v="7"/>
    </i>
    <i>
      <x v="9"/>
    </i>
    <i>
      <x v="13"/>
    </i>
    <i>
      <x v="2"/>
    </i>
    <i>
      <x v="1"/>
    </i>
    <i>
      <x v="4"/>
    </i>
    <i>
      <x v="11"/>
    </i>
    <i>
      <x v="10"/>
    </i>
    <i>
      <x v="3"/>
    </i>
    <i>
      <x v="12"/>
    </i>
  </rowItems>
  <colItems count="1">
    <i/>
  </colItems>
  <dataFields count="1">
    <dataField name="Education Score " fld="7" baseField="1" baseItem="6"/>
  </dataFields>
  <formats count="15">
    <format dxfId="141">
      <pivotArea type="all" dataOnly="0" outline="0" fieldPosition="0"/>
    </format>
    <format dxfId="140">
      <pivotArea outline="0" collapsedLevelsAreSubtotals="1" fieldPosition="0"/>
    </format>
    <format dxfId="139">
      <pivotArea field="1" type="button" dataOnly="0" labelOnly="1" outline="0" axis="axisRow" fieldPosition="0"/>
    </format>
    <format dxfId="138">
      <pivotArea dataOnly="0" labelOnly="1" fieldPosition="0">
        <references count="1">
          <reference field="1" count="0"/>
        </references>
      </pivotArea>
    </format>
    <format dxfId="137">
      <pivotArea dataOnly="0" labelOnly="1" outline="0" axis="axisValues" fieldPosition="0"/>
    </format>
    <format dxfId="136">
      <pivotArea type="all" dataOnly="0" outline="0" fieldPosition="0"/>
    </format>
    <format dxfId="135">
      <pivotArea dataOnly="0" labelOnly="1" fieldPosition="0">
        <references count="1">
          <reference field="1" count="0"/>
        </references>
      </pivotArea>
    </format>
    <format dxfId="134">
      <pivotArea type="all" dataOnly="0" outline="0" fieldPosition="0"/>
    </format>
    <format dxfId="133">
      <pivotArea outline="0" collapsedLevelsAreSubtotals="1" fieldPosition="0"/>
    </format>
    <format dxfId="132">
      <pivotArea dataOnly="0" labelOnly="1" fieldPosition="0">
        <references count="1">
          <reference field="1" count="0"/>
        </references>
      </pivotArea>
    </format>
    <format dxfId="131">
      <pivotArea field="1" type="button" dataOnly="0" labelOnly="1" outline="0" axis="axisRow" fieldPosition="0"/>
    </format>
    <format dxfId="130">
      <pivotArea dataOnly="0" labelOnly="1" outline="0" axis="axisValues" fieldPosition="0"/>
    </format>
    <format dxfId="129">
      <pivotArea outline="0" collapsedLevelsAreSubtotals="1" fieldPosition="0"/>
    </format>
    <format dxfId="128">
      <pivotArea dataOnly="0" labelOnly="1" outline="0" axis="axisValues" fieldPosition="0"/>
    </format>
    <format dxfId="127">
      <pivotArea field="1" type="button" dataOnly="0" labelOnly="1" outline="0" axis="axisRow" fieldPosition="0"/>
    </format>
  </formats>
  <chartFormats count="1">
    <chartFormat chart="4" format="1"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B3BB7E-6724-4124-88A1-B305CD0DFD24}" name="Crimevssafety" cacheId="0" dataPosition="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7">
  <location ref="B7:D21" firstHeaderRow="0" firstDataRow="1" firstDataCol="1"/>
  <pivotFields count="12">
    <pivotField showAll="0"/>
    <pivotField axis="axisRow" showAll="0" sortType="ascending">
      <items count="15">
        <item x="4"/>
        <item x="7"/>
        <item x="13"/>
        <item x="12"/>
        <item x="0"/>
        <item x="8"/>
        <item x="2"/>
        <item x="1"/>
        <item x="6"/>
        <item x="5"/>
        <item x="10"/>
        <item x="3"/>
        <item x="11"/>
        <item x="9"/>
        <item t="default"/>
      </items>
      <autoSortScope>
        <pivotArea dataOnly="0" outline="0" fieldPosition="0">
          <references count="1">
            <reference field="4294967294" count="1" selected="0">
              <x v="1"/>
            </reference>
          </references>
        </pivotArea>
      </autoSortScope>
    </pivotField>
    <pivotField showAll="0">
      <items count="3">
        <item x="0"/>
        <item x="1"/>
        <item t="default"/>
      </items>
    </pivotField>
    <pivotField showAll="0"/>
    <pivotField dataField="1" showAll="0"/>
    <pivotField numFmtId="164" showAll="0"/>
    <pivotField dataField="1" showAll="0"/>
    <pivotField showAll="0"/>
    <pivotField showAll="0"/>
    <pivotField showAll="0"/>
    <pivotField showAll="0"/>
    <pivotField showAll="0"/>
  </pivotFields>
  <rowFields count="1">
    <field x="1"/>
  </rowFields>
  <rowItems count="14">
    <i>
      <x v="7"/>
    </i>
    <i>
      <x v="4"/>
    </i>
    <i>
      <x v="11"/>
    </i>
    <i>
      <x v="6"/>
    </i>
    <i>
      <x/>
    </i>
    <i>
      <x v="8"/>
    </i>
    <i>
      <x v="2"/>
    </i>
    <i>
      <x v="13"/>
    </i>
    <i>
      <x v="3"/>
    </i>
    <i>
      <x v="9"/>
    </i>
    <i>
      <x v="1"/>
    </i>
    <i>
      <x v="10"/>
    </i>
    <i>
      <x v="5"/>
    </i>
    <i>
      <x v="12"/>
    </i>
  </rowItems>
  <colFields count="1">
    <field x="-2"/>
  </colFields>
  <colItems count="2">
    <i>
      <x/>
    </i>
    <i i="1">
      <x v="1"/>
    </i>
  </colItems>
  <dataFields count="2">
    <dataField name="Safety Index " fld="4" baseField="1" baseItem="7"/>
    <dataField name="Crime Rate   " fld="6" baseField="1" baseItem="7"/>
  </dataFields>
  <chartFormats count="4">
    <chartFormat chart="27" format="17" series="1">
      <pivotArea type="data" outline="0" fieldPosition="0">
        <references count="1">
          <reference field="4294967294" count="1" selected="0">
            <x v="1"/>
          </reference>
        </references>
      </pivotArea>
    </chartFormat>
    <chartFormat chart="27" format="18">
      <pivotArea type="data" outline="0" fieldPosition="0">
        <references count="2">
          <reference field="4294967294" count="1" selected="0">
            <x v="1"/>
          </reference>
          <reference field="1" count="1" selected="0">
            <x v="13"/>
          </reference>
        </references>
      </pivotArea>
    </chartFormat>
    <chartFormat chart="27" format="19">
      <pivotArea type="data" outline="0" fieldPosition="0">
        <references count="2">
          <reference field="4294967294" count="1" selected="0">
            <x v="1"/>
          </reference>
          <reference field="1" count="1" selected="0">
            <x v="5"/>
          </reference>
        </references>
      </pivotArea>
    </chartFormat>
    <chartFormat chart="27" format="2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CCBBD8CD-4616-4754-9BC9-602FFE20906A}" sourceName="Region">
  <pivotTables>
    <pivotTable tabId="1" name="PivotTable24"/>
    <pivotTable tabId="10" name="Crimevssafety"/>
    <pivotTable tabId="2" name="AvgRent"/>
    <pivotTable tabId="2" name="Education"/>
    <pivotTable tabId="2" name="Housingindexvscol"/>
    <pivotTable tabId="1" name="Healthcare by State"/>
  </pivotTables>
  <data>
    <tabular pivotCacheId="16926706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64D0E0F-CC39-4E16-9480-60EC339E9FB3}" sourceName="State">
  <pivotTables>
    <pivotTable tabId="2" name="AvgRent"/>
    <pivotTable tabId="10" name="Crimevssafety"/>
    <pivotTable tabId="1" name="PivotTable24"/>
    <pivotTable tabId="2" name="Education"/>
    <pivotTable tabId="2" name="Housingindexvscol"/>
    <pivotTable tabId="1" name="Healthcare by State"/>
  </pivotTables>
  <data>
    <tabular pivotCacheId="169267063">
      <items count="14">
        <i x="4" s="1"/>
        <i x="7" s="1"/>
        <i x="13" s="1"/>
        <i x="12" s="1"/>
        <i x="0" s="1"/>
        <i x="8" s="1"/>
        <i x="2" s="1"/>
        <i x="1" s="1"/>
        <i x="6" s="1"/>
        <i x="5" s="1"/>
        <i x="10" s="1"/>
        <i x="3" s="1"/>
        <i x="11"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8054304C-AAD4-4D8D-A884-3334B0D352D4}" cache="Slicer_Region2" caption="Region" columnCount="2" style="SlicerStyleLight1 2" rowHeight="1280160"/>
  <slicer name="State" xr10:uid="{043CF338-05C7-47C0-A710-B29AF88F8A91}" cache="Slicer_State" caption="State" columnCount="2" style="SlicerStyleLight1 2" rowHeight="5943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7A6C47-07E6-49DF-9B33-47482F913F7C}" name="Table4" displayName="Table4" ref="G10:O11" totalsRowShown="0" headerRowDxfId="152" dataDxfId="151" headerRowCellStyle="Heading 2">
  <tableColumns count="9">
    <tableColumn id="1" xr3:uid="{3A9B0C7A-FA47-4FDD-B2CE-667B76ABE119}" name="Best Place To Live" dataDxfId="150">
      <calculatedColumnFormula>INDEX(Table1[State], MATCH(MAX(Table1[Total score]), Table1[Total score], 0))</calculatedColumnFormula>
    </tableColumn>
    <tableColumn id="2" xr3:uid="{2F040F4B-3F6E-469E-9FA4-7F49D7870586}" name="Safety Index" dataDxfId="149"/>
    <tableColumn id="3" xr3:uid="{2BEDA2F8-6ED6-4944-84AD-4E0FDE75A7A8}" name="Health Score" dataDxfId="148"/>
    <tableColumn id="4" xr3:uid="{D7EE1FBF-F2F5-46A8-B44D-54F2324EBF28}" name="Average Rent" dataDxfId="147"/>
    <tableColumn id="5" xr3:uid="{083FE309-7F37-49D3-BCED-B83EA818BB21}" name="Education Index" dataDxfId="146"/>
    <tableColumn id="6" xr3:uid="{F3404D49-6280-4CAF-8F82-1D506292A836}" name="Avg Annual Temp" dataDxfId="145"/>
    <tableColumn id="7" xr3:uid="{EB252D87-0ECD-493B-95AF-DAB36BFAB92D}" name="Cost of living" dataDxfId="144"/>
    <tableColumn id="8" xr3:uid="{F200376A-89E0-4C20-BCAC-DC1586B91496}" name="Crime Rate" dataDxfId="143"/>
    <tableColumn id="9" xr3:uid="{93B2846E-5102-4AB5-AF70-D2CFC6835532}" name="Sunny Days" dataDxfId="142"/>
  </tableColumns>
  <tableStyleInfo name="TableStyleMedium2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M16" headerRowDxfId="94" dataDxfId="92" totalsRowDxfId="90" headerRowBorderDxfId="93" tableBorderDxfId="91">
  <tableColumns count="13">
    <tableColumn id="1" xr3:uid="{00000000-0010-0000-0000-000001000000}" name="Column 1" dataDxfId="89"/>
    <tableColumn id="2" xr3:uid="{00000000-0010-0000-0000-000002000000}" name="State" dataDxfId="88"/>
    <tableColumn id="12" xr3:uid="{C5651FAF-0834-4C00-97DA-07FEE43F16F6}" name="Region" dataDxfId="87"/>
    <tableColumn id="3" xr3:uid="{00000000-0010-0000-0000-000003000000}" name="Healthcare score" dataDxfId="86"/>
    <tableColumn id="4" xr3:uid="{00000000-0010-0000-0000-000004000000}" name="Safety Index" dataDxfId="85">
      <calculatedColumnFormula>_xlfn.XLOOKUP(B3,'Safety Ranking'!$B$2:$B$51,'Safety Ranking'!$C$2:$C$51,"Not found")</calculatedColumnFormula>
    </tableColumn>
    <tableColumn id="5" xr3:uid="{00000000-0010-0000-0000-000005000000}" name="Average Housing Rent (Monthly)" dataDxfId="84">
      <calculatedColumnFormula>VLOOKUP(B3,'Average housing'!$A$1:$J$52, 2, FALSE)</calculatedColumnFormula>
    </tableColumn>
    <tableColumn id="6" xr3:uid="{00000000-0010-0000-0000-000006000000}" name="Crime Rate (per 100,000)" dataDxfId="83"/>
    <tableColumn id="7" xr3:uid="{00000000-0010-0000-0000-000007000000}" name="Education Score" dataDxfId="82"/>
    <tableColumn id="8" xr3:uid="{00000000-0010-0000-0000-000008000000}" name="Avg Annual Temp. " dataDxfId="81">
      <calculatedColumnFormula>'Weather Statistics'!C2</calculatedColumnFormula>
    </tableColumn>
    <tableColumn id="9" xr3:uid="{00000000-0010-0000-0000-000009000000}" name="Avg Clear/Sunny Day (Annually)" dataDxfId="80">
      <calculatedColumnFormula>'Weather Statistics'!D2</calculatedColumnFormula>
    </tableColumn>
    <tableColumn id="10" xr3:uid="{00000000-0010-0000-0000-00000A000000}" name="Cost of Living" dataDxfId="79"/>
    <tableColumn id="11" xr3:uid="{3DDE2D91-0375-42F1-96D8-4B104B6C1AB5}" name="Housing index" dataDxfId="78">
      <calculatedColumnFormula>VLOOKUP(Table1[[#This Row],[State]],'Average housing'!$A$1:$J$52, 5,FALSE)</calculatedColumnFormula>
    </tableColumn>
    <tableColumn id="13" xr3:uid="{FB6BC74C-6F14-454A-886A-BCF29BEF9985}" name="Total score" dataDxfId="77">
      <calculatedColumnFormula>(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calculatedColumnFormula>
    </tableColumn>
  </tableColumns>
  <tableStyleInfo name="Master Data Sheet-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5474082-E66B-4D4C-B2D1-EC2043F0E5D1}" name="Table5" displayName="Table5" ref="K19:L27" totalsRowShown="0" headerRowDxfId="76" dataDxfId="75">
  <autoFilter ref="K19:L27" xr:uid="{C5474082-E66B-4D4C-B2D1-EC2043F0E5D1}"/>
  <tableColumns count="2">
    <tableColumn id="1" xr3:uid="{5298DF3B-618B-4456-AE2A-45457610BA1D}" name="Factors" dataDxfId="74"/>
    <tableColumn id="2" xr3:uid="{70640D9A-2244-462E-AF1C-52225AF60146}" name="Proportion" dataDxfId="7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D5619A8-3656-4904-B6AF-26C984FAE1B8}" name="Table6" displayName="Table6" ref="A1:F52" totalsRowShown="0" headerRowDxfId="72" dataDxfId="71" tableBorderDxfId="70">
  <autoFilter ref="A1:F52" xr:uid="{2D5619A8-3656-4904-B6AF-26C984FAE1B8}"/>
  <tableColumns count="6">
    <tableColumn id="1" xr3:uid="{07CEF7E3-BE60-40CA-9D99-7D4DE174F55B}" name="Overall Rank" dataDxfId="69"/>
    <tableColumn id="2" xr3:uid="{C4B053F9-0463-4533-9DA7-F0A4FAC47072}" name="State" dataDxfId="68"/>
    <tableColumn id="3" xr3:uid="{FCC4FB2A-EB76-4B32-8195-AD158CE26E28}" name="Total Score" dataDxfId="67"/>
    <tableColumn id="4" xr3:uid="{8A088E20-3F25-4F99-943D-2EC3A52F00D2}" name="Cost Rank" dataDxfId="66"/>
    <tableColumn id="5" xr3:uid="{848D595D-237D-4A34-937E-63FC7719B8A4}" name="Access Rank" dataDxfId="65"/>
    <tableColumn id="6" xr3:uid="{F62FED8A-4F99-4D6A-AC7D-A528153BCC00}" name="Outcomes Rank" dataDxfId="64"/>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99FA2A1-71E0-4C19-B728-EF7FE775F6C6}" name="Table7" displayName="Table7" ref="A1:H51" totalsRowShown="0" headerRowDxfId="63" dataDxfId="62" tableBorderDxfId="61">
  <autoFilter ref="A1:H51" xr:uid="{499FA2A1-71E0-4C19-B728-EF7FE775F6C6}"/>
  <tableColumns count="8">
    <tableColumn id="1" xr3:uid="{F300043F-D524-4C8E-9B7C-0B17AC489090}" name="Overall Rank*" dataDxfId="60"/>
    <tableColumn id="2" xr3:uid="{90C8D9EE-5AA6-48B2-8D4B-0A1726C408FE}" name="State" dataDxfId="59"/>
    <tableColumn id="3" xr3:uid="{A8AACACD-7684-4E2E-9199-BB71FE0CC7A3}" name="Total Score" dataDxfId="58"/>
    <tableColumn id="4" xr3:uid="{962F1EBB-892A-4B96-932C-41A17D79C4D2}" name="Personal &amp; Residential Safety Rank" dataDxfId="57"/>
    <tableColumn id="5" xr3:uid="{917B5459-A6B3-42C3-A7C0-F3122124A27C}" name="Financial Safety Rank" dataDxfId="56"/>
    <tableColumn id="6" xr3:uid="{CD3DAEC8-0809-4B4F-9AF9-603D3BB7B968}" name="Road Safety Rank" dataDxfId="55"/>
    <tableColumn id="7" xr3:uid="{92B613BA-2462-4435-8447-F6A8D8B285B1}" name="Workplace Safety Rank" dataDxfId="54"/>
    <tableColumn id="8" xr3:uid="{D7FC75B1-8516-46E9-9CF4-8F7A3D528B6F}" name="Emergency Preparedness Rank" dataDxfId="5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A1E3BD-D4F0-4C9C-90BB-70F75D19781D}" name="Table8" displayName="Table8" ref="A1:J52" totalsRowShown="0" headerRowDxfId="52" dataDxfId="51">
  <autoFilter ref="A1:J52" xr:uid="{00000000-0001-0000-0400-000000000000}"/>
  <tableColumns count="10">
    <tableColumn id="1" xr3:uid="{ED9137B4-89A4-4AAB-A7D4-0CB84B608EC5}" name="STATE" dataDxfId="50"/>
    <tableColumn id="2" xr3:uid="{1917CA7B-EBA6-4D66-94EE-862483945572}" name="AVERAGE RENT 2025" dataDxfId="49"/>
    <tableColumn id="3" xr3:uid="{FFAB1396-CF3D-410F-A181-1FE69F479E91}" name="AVG. APARTMENT SIZE 2025" dataDxfId="48"/>
    <tableColumn id="4" xr3:uid="{5B1B0C06-272E-4B0B-AF16-AD4F1CB37F8E}" name="COST OF LIVING INDEX(TOTAL)" dataDxfId="47"/>
    <tableColumn id="5" xr3:uid="{8E9A9DC8-2496-4028-B88B-426CF9844D6D}" name="COST OF LIVING INDEX(HOUSING)" dataDxfId="46"/>
    <tableColumn id="6" xr3:uid="{2EF7C67D-E317-4B89-965D-087283C032F4}" name="AVG. RENT 0 BDRMS" dataDxfId="45"/>
    <tableColumn id="7" xr3:uid="{5C429A56-5A2F-4E23-880C-8D55E972DD18}" name="AVG. RENT 1 BDRMS" dataDxfId="44"/>
    <tableColumn id="8" xr3:uid="{72A5DBEA-EF81-489E-AD43-21AD042B69A2}" name="AVG. RENT 2 BDRMS" dataDxfId="43"/>
    <tableColumn id="9" xr3:uid="{9C64AC36-F0A1-4BE7-B6C4-F9F702A8421B}" name="AVG. RENT 3 BDRMS" dataDxfId="42"/>
    <tableColumn id="10" xr3:uid="{9CACFA98-691E-4DE2-A9B9-C104CFC2C7BD}" name="AVG. RENT 4 BDRMS" dataDxfId="41"/>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5EC7CE3-D119-412E-A518-E135B577B0C5}" name="Table9" displayName="Table9" ref="A1:N52" totalsRowShown="0" headerRowDxfId="40">
  <autoFilter ref="A1:N52" xr:uid="{B5EC7CE3-D119-412E-A518-E135B577B0C5}"/>
  <tableColumns count="14">
    <tableColumn id="1" xr3:uid="{F816F146-35AF-45F0-8AA2-0F16010080D7}" name="STATE" dataDxfId="39"/>
    <tableColumn id="2" xr3:uid="{7D97E545-4A58-4830-9D03-3F99ADD117AF}" name="TOTAL CRIMES 2023" dataDxfId="38"/>
    <tableColumn id="3" xr3:uid="{EB3D310B-4895-4256-9CE8-5B7F9C9C70CB}" name="TOTAL CRIMES PER 100K POPULATION 2023" dataDxfId="37"/>
    <tableColumn id="4" xr3:uid="{2E7FEA90-76E6-415C-A8B1-1265E2A07C2D}" name="VIOLENT CRIMES 2023" dataDxfId="36"/>
    <tableColumn id="5" xr3:uid="{3778F64B-E791-4D12-955D-ACE6D9DF0BE6}" name="VIOLENT CRIMES PER 100K 2023" dataDxfId="35"/>
    <tableColumn id="6" xr3:uid="{0323D355-108A-43A5-80F6-8BC688D94732}" name="HOMICIDE COUNT" dataDxfId="34"/>
    <tableColumn id="7" xr3:uid="{536B7E4A-D7E6-4460-ABC7-1CE515D989E8}" name="RAPE COUNT" dataDxfId="33"/>
    <tableColumn id="8" xr3:uid="{C0E6FFF2-FB91-4458-8B8B-48B7E3742A45}" name="ROBBERY COUNT" dataDxfId="32"/>
    <tableColumn id="9" xr3:uid="{5C72A1BE-1CB9-4F86-BFFD-A06E43B4F06E}" name="AGGRAVATED ASSAULT" dataDxfId="31"/>
    <tableColumn id="10" xr3:uid="{9B3E71CD-B446-49CE-92F2-85EE5217A286}" name="TOTAL NON VIOLENT CRIMES" dataDxfId="30"/>
    <tableColumn id="11" xr3:uid="{3F15CCD0-9B54-46AD-BA94-D55C8DC98768}" name="TOTAL NON VIOLENT CRIMES PER 100K" dataDxfId="29"/>
    <tableColumn id="12" xr3:uid="{98CB2B56-61C0-4783-990D-FB87602C4FA7}" name="BURGLARY COUNT" dataDxfId="28"/>
    <tableColumn id="13" xr3:uid="{96C29A51-682F-4D75-A5D8-B3BA73DDF77F}" name="LARCENY COUNT" dataDxfId="27"/>
    <tableColumn id="14" xr3:uid="{84C06C09-3041-4EE7-ABFA-C83A69CEA198}" name="VEHICLE THEFT COUNT" dataDxfId="26"/>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H52" headerRowDxfId="25" dataDxfId="24" totalsRowDxfId="23">
  <tableColumns count="8">
    <tableColumn id="1" xr3:uid="{00000000-0010-0000-0100-000001000000}" name="State" dataDxfId="22"/>
    <tableColumn id="2" xr3:uid="{00000000-0010-0000-0100-000002000000}" name="CostOfLivingIndex" dataDxfId="21"/>
    <tableColumn id="3" xr3:uid="{00000000-0010-0000-0100-000003000000}" name="GroceriesCostsIndex" dataDxfId="20"/>
    <tableColumn id="4" xr3:uid="{00000000-0010-0000-0100-000004000000}" name="HousingCostsIndex" dataDxfId="19"/>
    <tableColumn id="5" xr3:uid="{00000000-0010-0000-0100-000005000000}" name="UtilitiesCostsIndex" dataDxfId="18"/>
    <tableColumn id="6" xr3:uid="{00000000-0010-0000-0100-000006000000}" name="TransportationCostsIndex" dataDxfId="17"/>
    <tableColumn id="7" xr3:uid="{00000000-0010-0000-0100-000007000000}" name="HealthCostsIndex" dataDxfId="16"/>
    <tableColumn id="8" xr3:uid="{00000000-0010-0000-0100-000008000000}" name="MiscCostsIndex" dataDxfId="15"/>
  </tableColumns>
  <tableStyleInfo name="TableStyleLight9"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5A5CA2C-0CF8-4C5E-A211-200A5851EC3B}" name="Table10" displayName="Table10" ref="A1:E52" totalsRowShown="0" headerRowDxfId="14" dataDxfId="12" headerRowBorderDxfId="13" tableBorderDxfId="11" totalsRowBorderDxfId="10">
  <autoFilter ref="A1:E52" xr:uid="{35A5CA2C-0CF8-4C5E-A211-200A5851EC3B}"/>
  <tableColumns count="5">
    <tableColumn id="1" xr3:uid="{058B1989-1C50-487F-9691-4D14395A452D}" name="Overall Rank" dataDxfId="9"/>
    <tableColumn id="2" xr3:uid="{9732CD01-967C-486E-A828-93B5ECD53E92}" name="State" dataDxfId="8"/>
    <tableColumn id="3" xr3:uid="{3C7269C8-EC73-4405-8919-E76093422A5B}" name="Total Score" dataDxfId="7"/>
    <tableColumn id="4" xr3:uid="{1CE23227-3745-4E5B-AA29-E01EC0FF5621}" name="Quality Rank" dataDxfId="6"/>
    <tableColumn id="5" xr3:uid="{33114584-D8F8-4E1B-B098-3EA61017D2E1}" name="Safety Rank" dataDxfId="5"/>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 displayName="Table_1" ref="A2:D15" headerRowCount="0" dataDxfId="4">
  <tableColumns count="4">
    <tableColumn id="1" xr3:uid="{00000000-0010-0000-0200-000001000000}" name="Column1" dataDxfId="3"/>
    <tableColumn id="2" xr3:uid="{00000000-0010-0000-0200-000002000000}" name="Column2" dataDxfId="2"/>
    <tableColumn id="3" xr3:uid="{00000000-0010-0000-0200-000003000000}" name="Column3" dataDxfId="1"/>
    <tableColumn id="4" xr3:uid="{00000000-0010-0000-0200-000004000000}" name="Column4" dataDxfId="0"/>
  </tableColumns>
  <tableStyleInfo name="Weather Statistic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7" dT="2025-05-03T00:23:43.83" personId="{6AD41B16-8793-4D36-A671-8CAA7913F2B1}" id="{BA5DA2B9-CCC5-4858-BD0B-3743C28ECC2D}">
    <text>While South Carolina shows the highest crime rate in this group, it doesn't mean it's the most dangerous. Overall it still ranks as relatively safe state compared to the national average.</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5.xml"/><Relationship Id="rId7" Type="http://schemas.openxmlformats.org/officeDocument/2006/relationships/ctrlProp" Target="../ctrlProps/ctrlProp8.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4.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9.vml"/><Relationship Id="rId1" Type="http://schemas.openxmlformats.org/officeDocument/2006/relationships/pivotTable" Target="../pivotTables/pivotTable6.x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outlinePr summaryBelow="0" summaryRight="0"/>
  </sheetPr>
  <dimension ref="C10:O80"/>
  <sheetViews>
    <sheetView tabSelected="1" zoomScale="30" zoomScaleNormal="30" workbookViewId="0">
      <selection activeCell="E11" sqref="E11"/>
    </sheetView>
  </sheetViews>
  <sheetFormatPr defaultColWidth="12.46484375" defaultRowHeight="15.75" customHeight="1"/>
  <cols>
    <col min="1" max="2" width="12.46484375" style="35"/>
    <col min="3" max="3" width="33.33203125" style="35" bestFit="1" customWidth="1"/>
    <col min="4" max="4" width="17.46484375" style="35" customWidth="1"/>
    <col min="5" max="5" width="48.53125" style="35" bestFit="1" customWidth="1"/>
    <col min="6" max="6" width="39.6640625" style="35" customWidth="1"/>
    <col min="7" max="7" width="40.1328125" style="35" bestFit="1" customWidth="1"/>
    <col min="8" max="8" width="32.1328125" style="35" customWidth="1"/>
    <col min="9" max="9" width="46.33203125" style="35" bestFit="1" customWidth="1"/>
    <col min="10" max="10" width="53.46484375" style="35" bestFit="1" customWidth="1"/>
    <col min="11" max="12" width="46.33203125" style="35" bestFit="1" customWidth="1"/>
    <col min="13" max="13" width="53.46484375" style="35" bestFit="1" customWidth="1"/>
    <col min="14" max="14" width="52.86328125" style="35" customWidth="1"/>
    <col min="15" max="15" width="35.46484375" style="35" customWidth="1"/>
    <col min="16" max="16384" width="12.46484375" style="35"/>
  </cols>
  <sheetData>
    <row r="10" spans="3:15" ht="93.75" customHeight="1" thickBot="1">
      <c r="C10" s="39"/>
      <c r="D10" s="39"/>
      <c r="G10" s="38" t="s">
        <v>0</v>
      </c>
      <c r="H10" s="38" t="s">
        <v>1</v>
      </c>
      <c r="I10" s="38" t="s">
        <v>2</v>
      </c>
      <c r="J10" s="38" t="s">
        <v>3</v>
      </c>
      <c r="K10" s="38" t="s">
        <v>4</v>
      </c>
      <c r="L10" s="38" t="s">
        <v>5</v>
      </c>
      <c r="M10" s="38" t="s">
        <v>6</v>
      </c>
      <c r="N10" s="38" t="s">
        <v>7</v>
      </c>
      <c r="O10" s="38" t="s">
        <v>8</v>
      </c>
    </row>
    <row r="11" spans="3:15" ht="137.25" customHeight="1" thickTop="1">
      <c r="C11" s="39"/>
      <c r="D11" s="39"/>
      <c r="E11" s="36"/>
      <c r="F11" s="37"/>
      <c r="G11" s="130" t="str">
        <f>INDEX(Table1[State], MATCH(MAX(Table1[Total score]), Table1[Total score], 0))</f>
        <v>New Hampshire</v>
      </c>
      <c r="H11" s="36">
        <v>20</v>
      </c>
      <c r="I11" s="36">
        <v>20</v>
      </c>
      <c r="J11" s="36">
        <v>10</v>
      </c>
      <c r="K11" s="36">
        <v>10</v>
      </c>
      <c r="L11" s="36">
        <v>10</v>
      </c>
      <c r="M11" s="36">
        <v>10</v>
      </c>
      <c r="N11" s="36">
        <v>10</v>
      </c>
      <c r="O11" s="36">
        <v>10</v>
      </c>
    </row>
    <row r="12" spans="3:15" ht="66" customHeight="1">
      <c r="C12" s="39"/>
      <c r="D12" s="39"/>
      <c r="E12" s="36"/>
      <c r="F12" s="37"/>
      <c r="G12" s="37"/>
      <c r="H12" s="37"/>
      <c r="I12" s="37"/>
      <c r="J12" s="37"/>
      <c r="K12" s="37"/>
      <c r="L12" s="37"/>
      <c r="M12" s="37"/>
    </row>
    <row r="13" spans="3:15" ht="66" customHeight="1">
      <c r="C13" s="39"/>
      <c r="D13" s="39"/>
      <c r="E13" s="36"/>
      <c r="F13" s="37"/>
      <c r="G13" s="37"/>
      <c r="H13" s="37"/>
      <c r="I13" s="37"/>
      <c r="J13" s="37"/>
      <c r="K13" s="37"/>
      <c r="L13" s="37"/>
      <c r="M13" s="37"/>
    </row>
    <row r="14" spans="3:15" ht="66" customHeight="1">
      <c r="C14" s="39"/>
      <c r="D14" s="39"/>
      <c r="E14" s="36"/>
      <c r="F14" s="37"/>
      <c r="G14" s="37"/>
      <c r="H14" s="37"/>
      <c r="I14" s="37"/>
      <c r="J14" s="37"/>
      <c r="K14" s="37"/>
      <c r="L14" s="37"/>
      <c r="M14" s="37"/>
    </row>
    <row r="15" spans="3:15" ht="12.75"/>
    <row r="17" spans="11:13" ht="12.75"/>
    <row r="18" spans="11:13" ht="64.5">
      <c r="K18" s="129" t="s">
        <v>25</v>
      </c>
      <c r="L18" s="129" t="s">
        <v>26</v>
      </c>
      <c r="M18" s="129" t="s">
        <v>27</v>
      </c>
    </row>
    <row r="19" spans="11:13" ht="32.25">
      <c r="K19" s="126" t="s">
        <v>23</v>
      </c>
      <c r="L19" s="135">
        <v>101</v>
      </c>
      <c r="M19" s="134">
        <v>70.7</v>
      </c>
    </row>
    <row r="20" spans="11:13" ht="32.25">
      <c r="K20" s="126" t="s">
        <v>24</v>
      </c>
      <c r="L20" s="135">
        <v>112</v>
      </c>
      <c r="M20" s="134">
        <v>63.5</v>
      </c>
    </row>
    <row r="21" spans="11:13" ht="32.25">
      <c r="K21" s="126" t="s">
        <v>20</v>
      </c>
      <c r="L21" s="135">
        <v>115</v>
      </c>
      <c r="M21" s="134">
        <v>62.4</v>
      </c>
    </row>
    <row r="22" spans="11:13" ht="32.25">
      <c r="K22" s="126" t="s">
        <v>22</v>
      </c>
      <c r="L22" s="135">
        <v>109</v>
      </c>
      <c r="M22" s="134">
        <v>59</v>
      </c>
    </row>
    <row r="23" spans="11:13" ht="32.25">
      <c r="K23" s="126" t="s">
        <v>19</v>
      </c>
      <c r="L23" s="135">
        <v>97</v>
      </c>
      <c r="M23" s="134">
        <v>55.3</v>
      </c>
    </row>
    <row r="24" spans="11:13" ht="32.25">
      <c r="K24" s="126" t="s">
        <v>16</v>
      </c>
      <c r="L24" s="135">
        <v>100</v>
      </c>
      <c r="M24" s="134">
        <v>55.1</v>
      </c>
    </row>
    <row r="25" spans="11:13" ht="32.25">
      <c r="K25" s="126" t="s">
        <v>15</v>
      </c>
      <c r="L25" s="135">
        <v>105</v>
      </c>
      <c r="M25" s="134">
        <v>54.2</v>
      </c>
    </row>
    <row r="26" spans="11:13" ht="32.25">
      <c r="K26" s="126" t="s">
        <v>18</v>
      </c>
      <c r="L26" s="135">
        <v>94</v>
      </c>
      <c r="M26" s="134">
        <v>52.7</v>
      </c>
    </row>
    <row r="27" spans="11:13" ht="32.25">
      <c r="K27" s="126" t="s">
        <v>11</v>
      </c>
      <c r="L27" s="135">
        <v>98</v>
      </c>
      <c r="M27" s="134">
        <v>50.1</v>
      </c>
    </row>
    <row r="28" spans="11:13" ht="32.25">
      <c r="K28" s="126" t="s">
        <v>17</v>
      </c>
      <c r="L28" s="135">
        <v>82</v>
      </c>
      <c r="M28" s="134">
        <v>49</v>
      </c>
    </row>
    <row r="29" spans="11:13" ht="32.25">
      <c r="K29" s="126" t="s">
        <v>13</v>
      </c>
      <c r="L29" s="135">
        <v>98</v>
      </c>
      <c r="M29" s="134">
        <v>47.9</v>
      </c>
    </row>
    <row r="30" spans="11:13" ht="32.25">
      <c r="K30" s="126" t="s">
        <v>21</v>
      </c>
      <c r="L30" s="135">
        <v>63</v>
      </c>
      <c r="M30" s="134">
        <v>45.4</v>
      </c>
    </row>
    <row r="31" spans="11:13" ht="32.25">
      <c r="K31" s="126" t="s">
        <v>12</v>
      </c>
      <c r="L31" s="135">
        <v>90</v>
      </c>
      <c r="M31" s="134">
        <v>43.8</v>
      </c>
    </row>
    <row r="32" spans="11:13" ht="32.25">
      <c r="K32" s="126" t="s">
        <v>14</v>
      </c>
      <c r="L32" s="135">
        <v>101</v>
      </c>
      <c r="M32" s="134">
        <v>41</v>
      </c>
    </row>
    <row r="33" spans="12:13" ht="12.75"/>
    <row r="34" spans="12:13" ht="12.75"/>
    <row r="35" spans="12:13" ht="12.75"/>
    <row r="36" spans="12:13" ht="32.25">
      <c r="L36" s="127" t="s">
        <v>9</v>
      </c>
      <c r="M36" s="127" t="s">
        <v>10</v>
      </c>
    </row>
    <row r="37" spans="12:13" ht="32.25">
      <c r="L37" s="128" t="s">
        <v>11</v>
      </c>
      <c r="M37" s="136">
        <v>67</v>
      </c>
    </row>
    <row r="38" spans="12:13" ht="32.25">
      <c r="L38" s="128" t="s">
        <v>12</v>
      </c>
      <c r="M38" s="136">
        <v>64.08</v>
      </c>
    </row>
    <row r="39" spans="12:13" ht="32.25">
      <c r="L39" s="128" t="s">
        <v>13</v>
      </c>
      <c r="M39" s="136">
        <v>64.05</v>
      </c>
    </row>
    <row r="40" spans="12:13" ht="32.25">
      <c r="L40" s="128" t="s">
        <v>14</v>
      </c>
      <c r="M40" s="136">
        <v>63.6</v>
      </c>
    </row>
    <row r="41" spans="12:13" ht="32.25">
      <c r="L41" s="128" t="s">
        <v>15</v>
      </c>
      <c r="M41" s="136">
        <v>60.39</v>
      </c>
    </row>
    <row r="42" spans="12:13" ht="32.25">
      <c r="L42" s="128" t="s">
        <v>16</v>
      </c>
      <c r="M42" s="136">
        <v>58.02</v>
      </c>
    </row>
    <row r="43" spans="12:13" ht="32.25">
      <c r="L43" s="128" t="s">
        <v>17</v>
      </c>
      <c r="M43" s="136">
        <v>57.65</v>
      </c>
    </row>
    <row r="44" spans="12:13" ht="32.25">
      <c r="L44" s="128" t="s">
        <v>18</v>
      </c>
      <c r="M44" s="136">
        <v>56.57</v>
      </c>
    </row>
    <row r="45" spans="12:13" ht="32.25">
      <c r="L45" s="128" t="s">
        <v>19</v>
      </c>
      <c r="M45" s="136">
        <v>55.24</v>
      </c>
    </row>
    <row r="46" spans="12:13" ht="32.25">
      <c r="L46" s="128" t="s">
        <v>20</v>
      </c>
      <c r="M46" s="136">
        <v>53.21</v>
      </c>
    </row>
    <row r="47" spans="12:13" ht="32.25">
      <c r="L47" s="128" t="s">
        <v>21</v>
      </c>
      <c r="M47" s="136">
        <v>52.97</v>
      </c>
    </row>
    <row r="48" spans="12:13" ht="32.25">
      <c r="L48" s="128" t="s">
        <v>22</v>
      </c>
      <c r="M48" s="136">
        <v>50.82</v>
      </c>
    </row>
    <row r="49" spans="12:13" ht="32.25">
      <c r="L49" s="128" t="s">
        <v>23</v>
      </c>
      <c r="M49" s="136">
        <v>50.77</v>
      </c>
    </row>
    <row r="50" spans="12:13" ht="32.25">
      <c r="L50" s="128" t="s">
        <v>24</v>
      </c>
      <c r="M50" s="136">
        <v>48.61</v>
      </c>
    </row>
    <row r="63" spans="12:13" ht="11.45" customHeight="1"/>
    <row r="64" spans="12:13" ht="35.450000000000003" customHeight="1"/>
    <row r="65" ht="34.25" customHeight="1"/>
    <row r="69" ht="12.75"/>
    <row r="70" ht="12.75"/>
    <row r="71" ht="12.75"/>
    <row r="77" ht="12.75"/>
    <row r="78" ht="12.75"/>
    <row r="79" ht="12.75"/>
    <row r="80" ht="12.75"/>
  </sheetData>
  <conditionalFormatting pivot="1" sqref="L19:L32">
    <cfRule type="dataBar" priority="14">
      <dataBar>
        <cfvo type="min"/>
        <cfvo type="max"/>
        <color rgb="FFFFB628"/>
      </dataBar>
      <extLst>
        <ext xmlns:x14="http://schemas.microsoft.com/office/spreadsheetml/2009/9/main" uri="{B025F937-C7B1-47D3-B67F-A62EFF666E3E}">
          <x14:id>{0B1B76D0-D8A1-4261-95C6-B6FD4D337761}</x14:id>
        </ext>
      </extLst>
    </cfRule>
  </conditionalFormatting>
  <conditionalFormatting pivot="1" sqref="M19:M32">
    <cfRule type="colorScale" priority="13">
      <colorScale>
        <cfvo type="min"/>
        <cfvo type="percentile" val="50"/>
        <cfvo type="max"/>
        <color rgb="FF63BE7B"/>
        <color rgb="FFFFEB84"/>
        <color rgb="FFF8696B"/>
      </colorScale>
    </cfRule>
  </conditionalFormatting>
  <conditionalFormatting sqref="K19:K32">
    <cfRule type="colorScale" priority="9">
      <colorScale>
        <cfvo type="min"/>
        <cfvo type="max"/>
        <color theme="4" tint="0.79998168889431442"/>
        <color theme="4" tint="-0.499984740745262"/>
      </colorScale>
    </cfRule>
    <cfRule type="dataBar" priority="10">
      <dataBar>
        <cfvo type="min"/>
        <cfvo type="max"/>
        <color rgb="FF638EC6"/>
      </dataBar>
      <extLst>
        <ext xmlns:x14="http://schemas.microsoft.com/office/spreadsheetml/2009/9/main" uri="{B025F937-C7B1-47D3-B67F-A62EFF666E3E}">
          <x14:id>{AC291BAE-63D3-4F73-9C39-F21262B7E5B3}</x14:id>
        </ext>
      </extLst>
    </cfRule>
  </conditionalFormatting>
  <conditionalFormatting sqref="L37:L50">
    <cfRule type="colorScale" priority="3">
      <colorScale>
        <cfvo type="min"/>
        <cfvo type="max"/>
        <color theme="4" tint="0.79998168889431442"/>
        <color theme="4" tint="-0.499984740745262"/>
      </colorScale>
    </cfRule>
    <cfRule type="dataBar" priority="4">
      <dataBar>
        <cfvo type="min"/>
        <cfvo type="max"/>
        <color rgb="FF638EC6"/>
      </dataBar>
      <extLst>
        <ext xmlns:x14="http://schemas.microsoft.com/office/spreadsheetml/2009/9/main" uri="{B025F937-C7B1-47D3-B67F-A62EFF666E3E}">
          <x14:id>{8365FB03-0821-4FEC-B4A5-47A1FA2B5812}</x14:id>
        </ext>
      </extLst>
    </cfRule>
  </conditionalFormatting>
  <conditionalFormatting sqref="L37">
    <cfRule type="colorScale" priority="2">
      <colorScale>
        <cfvo type="min"/>
        <cfvo type="percentile" val="50"/>
        <cfvo type="max"/>
        <color rgb="FFF8696B"/>
        <color rgb="FFFFEB84"/>
        <color rgb="FF63BE7B"/>
      </colorScale>
    </cfRule>
  </conditionalFormatting>
  <conditionalFormatting sqref="L37">
    <cfRule type="colorScale" priority="1">
      <colorScale>
        <cfvo type="min"/>
        <cfvo type="max"/>
        <color rgb="FFFFEF9C"/>
        <color rgb="FF63BE7B"/>
      </colorScale>
    </cfRule>
  </conditionalFormatting>
  <dataValidations count="1">
    <dataValidation errorStyle="information" allowBlank="1" showInputMessage="1" showErrorMessage="1" promptTitle="Proportion Input Reminder" prompt="Enter the proportion for this factor. Ensure the total equals 100%. Values must be between 0 and 100." sqref="H11:O11" xr:uid="{4A5CD9C7-3C6B-428C-BFFD-DA3710D98264}"/>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ResetDashboard">
                <anchor moveWithCells="1">
                  <from>
                    <xdr:col>1</xdr:col>
                    <xdr:colOff>100013</xdr:colOff>
                    <xdr:row>1</xdr:row>
                    <xdr:rowOff>47625</xdr:rowOff>
                  </from>
                  <to>
                    <xdr:col>3</xdr:col>
                    <xdr:colOff>190500</xdr:colOff>
                    <xdr:row>8</xdr:row>
                    <xdr:rowOff>161925</xdr:rowOff>
                  </to>
                </anchor>
              </controlPr>
            </control>
          </mc:Choice>
        </mc:AlternateContent>
        <mc:AlternateContent xmlns:mc="http://schemas.openxmlformats.org/markup-compatibility/2006">
          <mc:Choice Requires="x14">
            <control shapeId="1031" r:id="rId7" name="Button 7">
              <controlPr defaultSize="0" print="0" autoFill="0" autoPict="0" macro="[0]!Families">
                <anchor moveWithCells="1">
                  <from>
                    <xdr:col>17</xdr:col>
                    <xdr:colOff>619125</xdr:colOff>
                    <xdr:row>10</xdr:row>
                    <xdr:rowOff>419100</xdr:rowOff>
                  </from>
                  <to>
                    <xdr:col>22</xdr:col>
                    <xdr:colOff>190500</xdr:colOff>
                    <xdr:row>11</xdr:row>
                    <xdr:rowOff>314325</xdr:rowOff>
                  </to>
                </anchor>
              </controlPr>
            </control>
          </mc:Choice>
        </mc:AlternateContent>
        <mc:AlternateContent xmlns:mc="http://schemas.openxmlformats.org/markup-compatibility/2006">
          <mc:Choice Requires="x14">
            <control shapeId="1032" r:id="rId8" name="Button 8">
              <controlPr defaultSize="0" print="0" autoFill="0" autoPict="0" macro="[0]!MiddleAged">
                <anchor moveWithCells="1" sizeWithCells="1">
                  <from>
                    <xdr:col>22</xdr:col>
                    <xdr:colOff>752475</xdr:colOff>
                    <xdr:row>10</xdr:row>
                    <xdr:rowOff>390525</xdr:rowOff>
                  </from>
                  <to>
                    <xdr:col>27</xdr:col>
                    <xdr:colOff>123825</xdr:colOff>
                    <xdr:row>11</xdr:row>
                    <xdr:rowOff>314325</xdr:rowOff>
                  </to>
                </anchor>
              </controlPr>
            </control>
          </mc:Choice>
        </mc:AlternateContent>
        <mc:AlternateContent xmlns:mc="http://schemas.openxmlformats.org/markup-compatibility/2006">
          <mc:Choice Requires="x14">
            <control shapeId="1033" r:id="rId9" name="Button 9">
              <controlPr defaultSize="0" print="0" autoFill="0" autoPict="0" macro="[0]!Senior">
                <anchor moveWithCells="1">
                  <from>
                    <xdr:col>20</xdr:col>
                    <xdr:colOff>38100</xdr:colOff>
                    <xdr:row>11</xdr:row>
                    <xdr:rowOff>557213</xdr:rowOff>
                  </from>
                  <to>
                    <xdr:col>25</xdr:col>
                    <xdr:colOff>85725</xdr:colOff>
                    <xdr:row>13</xdr:row>
                    <xdr:rowOff>328613</xdr:rowOff>
                  </to>
                </anchor>
              </controlPr>
            </control>
          </mc:Choice>
        </mc:AlternateContent>
        <mc:AlternateContent xmlns:mc="http://schemas.openxmlformats.org/markup-compatibility/2006">
          <mc:Choice Requires="x14">
            <control shapeId="1034" r:id="rId10" name="Button 10">
              <controlPr defaultSize="0" print="0" autoFill="0" autoPict="0" macro="[0]!Students">
                <anchor moveWithCells="1">
                  <from>
                    <xdr:col>17</xdr:col>
                    <xdr:colOff>647700</xdr:colOff>
                    <xdr:row>8</xdr:row>
                    <xdr:rowOff>28575</xdr:rowOff>
                  </from>
                  <to>
                    <xdr:col>22</xdr:col>
                    <xdr:colOff>152400</xdr:colOff>
                    <xdr:row>10</xdr:row>
                    <xdr:rowOff>38100</xdr:rowOff>
                  </to>
                </anchor>
              </controlPr>
            </control>
          </mc:Choice>
        </mc:AlternateContent>
        <mc:AlternateContent xmlns:mc="http://schemas.openxmlformats.org/markup-compatibility/2006">
          <mc:Choice Requires="x14">
            <control shapeId="1035" r:id="rId11" name="Button 11">
              <controlPr defaultSize="0" print="0" autoFill="0" autoPict="0" macro="[0]!YoungAdults">
                <anchor moveWithCells="1">
                  <from>
                    <xdr:col>22</xdr:col>
                    <xdr:colOff>647700</xdr:colOff>
                    <xdr:row>8</xdr:row>
                    <xdr:rowOff>28575</xdr:rowOff>
                  </from>
                  <to>
                    <xdr:col>27</xdr:col>
                    <xdr:colOff>138113</xdr:colOff>
                    <xdr:row>10</xdr:row>
                    <xdr:rowOff>61913</xdr:rowOff>
                  </to>
                </anchor>
              </controlPr>
            </control>
          </mc:Choice>
        </mc:AlternateContent>
        <mc:AlternateContent xmlns:mc="http://schemas.openxmlformats.org/markup-compatibility/2006">
          <mc:Choice Requires="x14">
            <control shapeId="1036" r:id="rId12" name="Button 12">
              <controlPr defaultSize="0" print="0" autoFill="0" autoPict="0" macro="[0]!Top">
                <anchor moveWithCells="1" sizeWithCells="1">
                  <from>
                    <xdr:col>11</xdr:col>
                    <xdr:colOff>2028825</xdr:colOff>
                    <xdr:row>108</xdr:row>
                    <xdr:rowOff>123825</xdr:rowOff>
                  </from>
                  <to>
                    <xdr:col>12</xdr:col>
                    <xdr:colOff>3076575</xdr:colOff>
                    <xdr:row>114</xdr:row>
                    <xdr:rowOff>161925</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pivot="1">
          <x14:cfRule type="dataBar" id="{0B1B76D0-D8A1-4261-95C6-B6FD4D337761}">
            <x14:dataBar minLength="0" maxLength="100" border="1" negativeBarBorderColorSameAsPositive="0">
              <x14:cfvo type="autoMin"/>
              <x14:cfvo type="autoMax"/>
              <x14:borderColor rgb="FFFFB628"/>
              <x14:negativeFillColor rgb="FFFF0000"/>
              <x14:negativeBorderColor rgb="FFFF0000"/>
              <x14:axisColor rgb="FF000000"/>
            </x14:dataBar>
          </x14:cfRule>
          <xm:sqref>L19:L32</xm:sqref>
        </x14:conditionalFormatting>
        <x14:conditionalFormatting xmlns:xm="http://schemas.microsoft.com/office/excel/2006/main">
          <x14:cfRule type="dataBar" id="{AC291BAE-63D3-4F73-9C39-F21262B7E5B3}">
            <x14:dataBar minLength="0" maxLength="100" border="1" negativeBarBorderColorSameAsPositive="0">
              <x14:cfvo type="autoMin"/>
              <x14:cfvo type="autoMax"/>
              <x14:borderColor rgb="FF638EC6"/>
              <x14:negativeFillColor rgb="FFFF0000"/>
              <x14:negativeBorderColor rgb="FFFF0000"/>
              <x14:axisColor rgb="FF000000"/>
            </x14:dataBar>
          </x14:cfRule>
          <xm:sqref>K19:K32</xm:sqref>
        </x14:conditionalFormatting>
        <x14:conditionalFormatting xmlns:xm="http://schemas.microsoft.com/office/excel/2006/main">
          <x14:cfRule type="dataBar" id="{8365FB03-0821-4FEC-B4A5-47A1FA2B5812}">
            <x14:dataBar minLength="0" maxLength="100" border="1" negativeBarBorderColorSameAsPositive="0">
              <x14:cfvo type="autoMin"/>
              <x14:cfvo type="autoMax"/>
              <x14:borderColor rgb="FF638EC6"/>
              <x14:negativeFillColor rgb="FFFF0000"/>
              <x14:negativeBorderColor rgb="FFFF0000"/>
              <x14:axisColor rgb="FF000000"/>
            </x14:dataBar>
          </x14:cfRule>
          <xm:sqref>L37:L50</xm:sqref>
        </x14:conditionalFormatting>
        <x14:conditionalFormatting xmlns:xm="http://schemas.microsoft.com/office/excel/2006/main" pivot="1">
          <x14:cfRule type="iconSet" priority="5" id="{51B00DED-A8E2-415C-824F-5C9B78F8E4B4}">
            <x14:iconSet iconSet="3Stars">
              <x14:cfvo type="percent">
                <xm:f>0</xm:f>
              </x14:cfvo>
              <x14:cfvo type="num">
                <xm:f>50</xm:f>
              </x14:cfvo>
              <x14:cfvo type="num">
                <xm:f>65</xm:f>
              </x14:cfvo>
            </x14:iconSet>
          </x14:cfRule>
          <xm:sqref>M37:M50</xm:sqref>
        </x14:conditionalFormatting>
      </x14:conditionalFormattings>
    </ex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M33"/>
  <sheetViews>
    <sheetView zoomScale="80" zoomScaleNormal="80" workbookViewId="0">
      <selection activeCell="K39" sqref="K39"/>
    </sheetView>
  </sheetViews>
  <sheetFormatPr defaultColWidth="12.46484375" defaultRowHeight="12.75"/>
  <cols>
    <col min="1" max="1" width="17" style="52" customWidth="1"/>
    <col min="2" max="2" width="15.53125" style="52" bestFit="1" customWidth="1"/>
    <col min="3" max="3" width="9.53125" style="52" customWidth="1"/>
    <col min="4" max="4" width="17.46484375" style="52" customWidth="1"/>
    <col min="5" max="5" width="13.53125" style="52" bestFit="1" customWidth="1"/>
    <col min="6" max="6" width="13.19921875" style="52" bestFit="1" customWidth="1"/>
    <col min="7" max="7" width="14.1328125" style="52" customWidth="1"/>
    <col min="8" max="8" width="20.6640625" style="52" customWidth="1"/>
    <col min="9" max="9" width="16" style="52" bestFit="1" customWidth="1"/>
    <col min="10" max="10" width="14.1328125" style="52" bestFit="1" customWidth="1"/>
    <col min="11" max="11" width="17.46484375" style="52" customWidth="1"/>
    <col min="12" max="12" width="12" style="52" customWidth="1"/>
    <col min="13" max="13" width="23.46484375" style="52" bestFit="1" customWidth="1"/>
    <col min="14" max="16384" width="12.46484375" style="52"/>
  </cols>
  <sheetData>
    <row r="1" spans="1:13">
      <c r="B1" s="53"/>
      <c r="C1" s="53"/>
      <c r="D1" s="53"/>
      <c r="E1" s="53"/>
      <c r="F1" s="53"/>
      <c r="G1" s="53"/>
      <c r="H1" s="53"/>
      <c r="I1" s="53"/>
      <c r="J1" s="53"/>
    </row>
    <row r="2" spans="1:13" s="57" customFormat="1" ht="39.4">
      <c r="A2" s="49" t="s">
        <v>28</v>
      </c>
      <c r="B2" s="40" t="s">
        <v>9</v>
      </c>
      <c r="C2" s="42" t="s">
        <v>29</v>
      </c>
      <c r="D2" s="40" t="s">
        <v>30</v>
      </c>
      <c r="E2" s="40" t="s">
        <v>1</v>
      </c>
      <c r="F2" s="40" t="s">
        <v>31</v>
      </c>
      <c r="G2" s="40" t="s">
        <v>32</v>
      </c>
      <c r="H2" s="40" t="s">
        <v>33</v>
      </c>
      <c r="I2" s="41" t="s">
        <v>34</v>
      </c>
      <c r="J2" s="41" t="s">
        <v>35</v>
      </c>
      <c r="K2" s="40" t="s">
        <v>36</v>
      </c>
      <c r="L2" s="40" t="s">
        <v>37</v>
      </c>
      <c r="M2" s="43" t="s">
        <v>38</v>
      </c>
    </row>
    <row r="3" spans="1:13" ht="13.15">
      <c r="A3" s="50">
        <v>1</v>
      </c>
      <c r="B3" s="54" t="s">
        <v>14</v>
      </c>
      <c r="C3" s="117" t="s">
        <v>39</v>
      </c>
      <c r="D3" s="45">
        <f>VLOOKUP(B3, 'Healthcare rank'!$B$2:$F$52, 2, FALSE)</f>
        <v>63.6</v>
      </c>
      <c r="E3" s="45">
        <f>_xlfn.XLOOKUP(B3,'Safety Ranking'!$B$2:$B$51,'Safety Ranking'!$C$2:$C$51,"Not found")</f>
        <v>64.19</v>
      </c>
      <c r="F3" s="46">
        <f>VLOOKUP(B3,'Average housing'!$A$1:$J$52, 2, FALSE)</f>
        <v>1971</v>
      </c>
      <c r="G3" s="45">
        <f>VLOOKUP(B3,'Crime Rate'!$A$2:$N$52,3,FALSE)</f>
        <v>1220</v>
      </c>
      <c r="H3" s="45">
        <f>VLOOKUP(B3, Education!$B$2:$C$52, 2, FALSE)</f>
        <v>55.71</v>
      </c>
      <c r="I3" s="45">
        <f>'Weather Statistics'!C2</f>
        <v>41</v>
      </c>
      <c r="J3" s="45">
        <f>'Weather Statistics'!D2</f>
        <v>101</v>
      </c>
      <c r="K3" s="45">
        <f>VLOOKUP(B3,'cost-of-living-index-by-state-2'!$A$2:$H$52,2,FALSE)</f>
        <v>112.1</v>
      </c>
      <c r="L3" s="118">
        <f>VLOOKUP(Table1[[#This Row],[State]],'Average housing'!$A$1:$J$52, 5,FALSE)</f>
        <v>128.69999999999999</v>
      </c>
      <c r="M3"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68.12229966652886</v>
      </c>
    </row>
    <row r="4" spans="1:13" ht="13.15">
      <c r="A4" s="50">
        <v>2</v>
      </c>
      <c r="B4" s="54" t="s">
        <v>12</v>
      </c>
      <c r="C4" s="117" t="s">
        <v>39</v>
      </c>
      <c r="D4" s="45">
        <f>VLOOKUP(B4, 'Healthcare rank'!$B$2:$F$52, 2, FALSE)</f>
        <v>64.08</v>
      </c>
      <c r="E4" s="45">
        <f>_xlfn.XLOOKUP(B4,'Safety Ranking'!$B$2:$B$51,'Safety Ranking'!$C$2:$C$51,"Not found")</f>
        <v>65.58</v>
      </c>
      <c r="F4" s="46">
        <f>VLOOKUP(B4,'Average housing'!$A$1:$J$52, 2, FALSE)</f>
        <v>2112</v>
      </c>
      <c r="G4" s="45">
        <f>VLOOKUP(B4,'Crime Rate'!$A$2:$N$52,3,FALSE)</f>
        <v>996</v>
      </c>
      <c r="H4" s="45">
        <f>VLOOKUP(B4, Education!$B$2:$C$52, 2, FALSE)</f>
        <v>60.07</v>
      </c>
      <c r="I4" s="45">
        <f>'Weather Statistics'!C3</f>
        <v>43.8</v>
      </c>
      <c r="J4" s="45">
        <f>'Weather Statistics'!D3</f>
        <v>90</v>
      </c>
      <c r="K4" s="45">
        <f>VLOOKUP(B4,'cost-of-living-index-by-state-2'!$A$2:$H$52,2,FALSE)</f>
        <v>112.6</v>
      </c>
      <c r="L4" s="118">
        <f>VLOOKUP(Table1[[#This Row],[State]],'Average housing'!$A$1:$J$52, 5,FALSE)</f>
        <v>117.5</v>
      </c>
      <c r="M4"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70.034871422119849</v>
      </c>
    </row>
    <row r="5" spans="1:13" ht="13.15">
      <c r="A5" s="50">
        <v>3</v>
      </c>
      <c r="B5" s="54" t="s">
        <v>13</v>
      </c>
      <c r="C5" s="117" t="s">
        <v>39</v>
      </c>
      <c r="D5" s="45">
        <f>VLOOKUP(B5, 'Healthcare rank'!$B$2:$F$52, 2, FALSE)</f>
        <v>64.05</v>
      </c>
      <c r="E5" s="45">
        <f>_xlfn.XLOOKUP(B5,'Safety Ranking'!$B$2:$B$51,'Safety Ranking'!$C$2:$C$51,"Not found")</f>
        <v>63.59</v>
      </c>
      <c r="F5" s="46">
        <f>VLOOKUP(B5,'Average housing'!$A$1:$J$52, 2, FALSE)</f>
        <v>2837</v>
      </c>
      <c r="G5" s="45">
        <f>VLOOKUP(B5,'Crime Rate'!$A$2:$N$52,3,FALSE)</f>
        <v>1410</v>
      </c>
      <c r="H5" s="45">
        <f>VLOOKUP(B5, Education!$B$2:$C$52, 2, FALSE)</f>
        <v>74.36</v>
      </c>
      <c r="I5" s="45">
        <f>'Weather Statistics'!C4</f>
        <v>47.9</v>
      </c>
      <c r="J5" s="45">
        <f>'Weather Statistics'!D4</f>
        <v>98</v>
      </c>
      <c r="K5" s="45">
        <f>VLOOKUP(B5,'cost-of-living-index-by-state-2'!$A$2:$H$52,2,FALSE)</f>
        <v>145.9</v>
      </c>
      <c r="L5" s="118">
        <f>VLOOKUP(Table1[[#This Row],[State]],'Average housing'!$A$1:$J$52, 5,FALSE)</f>
        <v>218.8</v>
      </c>
      <c r="M5"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61.93225399049647</v>
      </c>
    </row>
    <row r="6" spans="1:13" ht="13.15">
      <c r="A6" s="50">
        <v>4</v>
      </c>
      <c r="B6" s="54" t="s">
        <v>11</v>
      </c>
      <c r="C6" s="117" t="s">
        <v>39</v>
      </c>
      <c r="D6" s="45">
        <f>VLOOKUP(B6, 'Healthcare rank'!$B$2:$F$52, 2, FALSE)</f>
        <v>67</v>
      </c>
      <c r="E6" s="45">
        <f>_xlfn.XLOOKUP(B6,'Safety Ranking'!$B$2:$B$51,'Safety Ranking'!$C$2:$C$51,"Not found")</f>
        <v>57.45</v>
      </c>
      <c r="F6" s="46">
        <f>VLOOKUP(B6,'Average housing'!$A$1:$J$52, 2, FALSE)</f>
        <v>2129</v>
      </c>
      <c r="G6" s="45">
        <f>VLOOKUP(B6,'Crime Rate'!$A$2:$N$52,3,FALSE)</f>
        <v>1290</v>
      </c>
      <c r="H6" s="45">
        <f>VLOOKUP(B6, Education!$B$2:$C$52, 2, FALSE)</f>
        <v>54.81</v>
      </c>
      <c r="I6" s="45">
        <f>'Weather Statistics'!C5</f>
        <v>50.1</v>
      </c>
      <c r="J6" s="45">
        <f>'Weather Statistics'!D5</f>
        <v>98</v>
      </c>
      <c r="K6" s="45">
        <f>VLOOKUP(B6,'cost-of-living-index-by-state-2'!$A$2:$H$52,2,FALSE)</f>
        <v>112.2</v>
      </c>
      <c r="L6" s="118">
        <f>VLOOKUP(Table1[[#This Row],[State]],'Average housing'!$A$1:$J$52, 5,FALSE)</f>
        <v>113.4</v>
      </c>
      <c r="M6"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67.550332455491002</v>
      </c>
    </row>
    <row r="7" spans="1:13" ht="13.15">
      <c r="A7" s="50">
        <v>5</v>
      </c>
      <c r="B7" s="54" t="s">
        <v>17</v>
      </c>
      <c r="C7" s="117" t="s">
        <v>39</v>
      </c>
      <c r="D7" s="45">
        <f>VLOOKUP(B7, 'Healthcare rank'!$B$2:$F$52, 2, FALSE)</f>
        <v>57.65</v>
      </c>
      <c r="E7" s="45">
        <f>_xlfn.XLOOKUP(B7,'Safety Ranking'!$B$2:$B$51,'Safety Ranking'!$C$2:$C$51,"Not found")</f>
        <v>59.51</v>
      </c>
      <c r="F7" s="46">
        <f>VLOOKUP(B7,'Average housing'!$A$1:$J$52, 2, FALSE)</f>
        <v>2044</v>
      </c>
      <c r="G7" s="45">
        <f>VLOOKUP(B7,'Crime Rate'!$A$2:$N$52,3,FALSE)</f>
        <v>1710</v>
      </c>
      <c r="H7" s="45">
        <f>VLOOKUP(B7, Education!$B$2:$C$52, 2, FALSE)</f>
        <v>67.06</v>
      </c>
      <c r="I7" s="45">
        <f>'Weather Statistics'!C6</f>
        <v>49</v>
      </c>
      <c r="J7" s="45">
        <f>'Weather Statistics'!D6</f>
        <v>82</v>
      </c>
      <c r="K7" s="45">
        <f>VLOOKUP(B7,'cost-of-living-index-by-state-2'!$A$2:$H$52,2,FALSE)</f>
        <v>112.3</v>
      </c>
      <c r="L7" s="118">
        <f>VLOOKUP(Table1[[#This Row],[State]],'Average housing'!$A$1:$J$52, 5,FALSE)</f>
        <v>117.2</v>
      </c>
      <c r="M7"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57.411443214673064</v>
      </c>
    </row>
    <row r="8" spans="1:13" ht="13.15">
      <c r="A8" s="50">
        <v>6</v>
      </c>
      <c r="B8" s="54" t="s">
        <v>21</v>
      </c>
      <c r="C8" s="117" t="s">
        <v>39</v>
      </c>
      <c r="D8" s="45">
        <f>VLOOKUP(B8, 'Healthcare rank'!$B$2:$F$52, 2, FALSE)</f>
        <v>52.97</v>
      </c>
      <c r="E8" s="45">
        <f>_xlfn.XLOOKUP(B8,'Safety Ranking'!$B$2:$B$51,'Safety Ranking'!$C$2:$C$51,"Not found")</f>
        <v>51.27</v>
      </c>
      <c r="F8" s="46">
        <f>VLOOKUP(B8,'Average housing'!$A$1:$J$52, 2, FALSE)</f>
        <v>2739</v>
      </c>
      <c r="G8" s="45">
        <f>VLOOKUP(B8,'Crime Rate'!$A$2:$N$52,3,FALSE)</f>
        <v>2190</v>
      </c>
      <c r="H8" s="45">
        <f>VLOOKUP(B8, Education!$B$2:$C$52, 2, FALSE)</f>
        <v>58.25</v>
      </c>
      <c r="I8" s="45">
        <f>'Weather Statistics'!C7</f>
        <v>45.4</v>
      </c>
      <c r="J8" s="45">
        <f>'Weather Statistics'!D7</f>
        <v>63</v>
      </c>
      <c r="K8" s="45">
        <f>VLOOKUP(B8,'cost-of-living-index-by-state-2'!$A$2:$H$52,2,FALSE)</f>
        <v>123.3</v>
      </c>
      <c r="L8" s="118">
        <f>VLOOKUP(Table1[[#This Row],[State]],'Average housing'!$A$1:$J$52, 5,FALSE)</f>
        <v>168</v>
      </c>
      <c r="M8"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28.558522497781585</v>
      </c>
    </row>
    <row r="9" spans="1:13" ht="13.15">
      <c r="A9" s="50">
        <v>7</v>
      </c>
      <c r="B9" s="54" t="s">
        <v>18</v>
      </c>
      <c r="C9" s="117" t="s">
        <v>39</v>
      </c>
      <c r="D9" s="45">
        <f>VLOOKUP(B9, 'Healthcare rank'!$B$2:$F$52, 2, FALSE)</f>
        <v>56.57</v>
      </c>
      <c r="E9" s="45">
        <f>_xlfn.XLOOKUP(B9,'Safety Ranking'!$B$2:$B$51,'Safety Ranking'!$C$2:$C$51,"Not found")</f>
        <v>53.28</v>
      </c>
      <c r="F9" s="46">
        <f>VLOOKUP(B9,'Average housing'!$A$1:$J$52, 2, FALSE)</f>
        <v>2337</v>
      </c>
      <c r="G9" s="45">
        <f>VLOOKUP(B9,'Crime Rate'!$A$2:$N$52,3,FALSE)</f>
        <v>1740</v>
      </c>
      <c r="H9" s="45">
        <f>VLOOKUP(B9, Education!$B$2:$C$52, 2, FALSE)</f>
        <v>63.45</v>
      </c>
      <c r="I9" s="45">
        <f>'Weather Statistics'!C8</f>
        <v>52.7</v>
      </c>
      <c r="J9" s="45">
        <f>'Weather Statistics'!D8</f>
        <v>94</v>
      </c>
      <c r="K9" s="45">
        <f>VLOOKUP(B9,'cost-of-living-index-by-state-2'!$A$2:$H$52,2,FALSE)</f>
        <v>114.6</v>
      </c>
      <c r="L9" s="118">
        <f>VLOOKUP(Table1[[#This Row],[State]],'Average housing'!$A$1:$J$52, 5,FALSE)</f>
        <v>136.9</v>
      </c>
      <c r="M9"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51.346341107508422</v>
      </c>
    </row>
    <row r="10" spans="1:13" ht="13.15">
      <c r="A10" s="50">
        <v>8</v>
      </c>
      <c r="B10" s="54" t="s">
        <v>19</v>
      </c>
      <c r="C10" s="117" t="s">
        <v>40</v>
      </c>
      <c r="D10" s="45">
        <f>VLOOKUP(B10, 'Healthcare rank'!$B$2:$F$52, 2, FALSE)</f>
        <v>55.24</v>
      </c>
      <c r="E10" s="45">
        <f>_xlfn.XLOOKUP(B10,'Safety Ranking'!$B$2:$B$51,'Safety Ranking'!$C$2:$C$51,"Not found")</f>
        <v>52.84</v>
      </c>
      <c r="F10" s="46">
        <f>VLOOKUP(B10,'Average housing'!$A$1:$J$52, 2, FALSE)</f>
        <v>1646</v>
      </c>
      <c r="G10" s="45">
        <f>VLOOKUP(B10,'Crime Rate'!$A$2:$N$52,3,FALSE)</f>
        <v>2260</v>
      </c>
      <c r="H10" s="45">
        <f>VLOOKUP(B10, Education!$B$2:$C$52, 2, FALSE)</f>
        <v>56.69</v>
      </c>
      <c r="I10" s="45">
        <f>'Weather Statistics'!C9</f>
        <v>55.3</v>
      </c>
      <c r="J10" s="45">
        <f>'Weather Statistics'!D9</f>
        <v>97</v>
      </c>
      <c r="K10" s="45">
        <f>VLOOKUP(B10,'cost-of-living-index-by-state-2'!$A$2:$H$52,2,FALSE)</f>
        <v>100.8</v>
      </c>
      <c r="L10" s="118">
        <f>VLOOKUP(Table1[[#This Row],[State]],'Average housing'!$A$1:$J$52, 5,FALSE)</f>
        <v>97.4</v>
      </c>
      <c r="M10"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53.552162877703907</v>
      </c>
    </row>
    <row r="11" spans="1:13" ht="13.15">
      <c r="A11" s="50">
        <v>9</v>
      </c>
      <c r="B11" s="54" t="s">
        <v>15</v>
      </c>
      <c r="C11" s="117" t="s">
        <v>40</v>
      </c>
      <c r="D11" s="45">
        <f>VLOOKUP(B11, 'Healthcare rank'!$B$2:$F$52, 2, FALSE)</f>
        <v>60.39</v>
      </c>
      <c r="E11" s="45">
        <f>_xlfn.XLOOKUP(B11,'Safety Ranking'!$B$2:$B$51,'Safety Ranking'!$C$2:$C$51,"Not found")</f>
        <v>53.87</v>
      </c>
      <c r="F11" s="46">
        <f>VLOOKUP(B11,'Average housing'!$A$1:$J$52, 2, FALSE)</f>
        <v>1859</v>
      </c>
      <c r="G11" s="45">
        <f>VLOOKUP(B11,'Crime Rate'!$A$2:$N$52,3,FALSE)</f>
        <v>2500</v>
      </c>
      <c r="H11" s="45">
        <f>VLOOKUP(B11, Education!$B$2:$C$52, 2, FALSE)</f>
        <v>63.6</v>
      </c>
      <c r="I11" s="45">
        <f>'Weather Statistics'!C10</f>
        <v>54.2</v>
      </c>
      <c r="J11" s="45">
        <f>'Weather Statistics'!D10</f>
        <v>105</v>
      </c>
      <c r="K11" s="45">
        <f>VLOOKUP(B11,'cost-of-living-index-by-state-2'!$A$2:$H$52,2,FALSE)</f>
        <v>115.3</v>
      </c>
      <c r="L11" s="118">
        <f>VLOOKUP(Table1[[#This Row],[State]],'Average housing'!$A$1:$J$52, 5,FALSE)</f>
        <v>135.80000000000001</v>
      </c>
      <c r="M11"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57.536559088579693</v>
      </c>
    </row>
    <row r="12" spans="1:13" ht="13.15">
      <c r="A12" s="50">
        <v>10</v>
      </c>
      <c r="B12" s="54" t="s">
        <v>16</v>
      </c>
      <c r="C12" s="117" t="s">
        <v>40</v>
      </c>
      <c r="D12" s="45">
        <f>VLOOKUP(B12, 'Healthcare rank'!$B$2:$F$52, 2, FALSE)</f>
        <v>58.02</v>
      </c>
      <c r="E12" s="45">
        <f>_xlfn.XLOOKUP(B12,'Safety Ranking'!$B$2:$B$51,'Safety Ranking'!$C$2:$C$51,"Not found")</f>
        <v>54.19</v>
      </c>
      <c r="F12" s="46">
        <f>VLOOKUP(B12,'Average housing'!$A$1:$J$52, 2, FALSE)</f>
        <v>1972</v>
      </c>
      <c r="G12" s="45">
        <f>VLOOKUP(B12,'Crime Rate'!$A$2:$N$52,3,FALSE)</f>
        <v>1890</v>
      </c>
      <c r="H12" s="45">
        <f>VLOOKUP(B12, Education!$B$2:$C$52, 2, FALSE)</f>
        <v>57.81</v>
      </c>
      <c r="I12" s="45">
        <f>'Weather Statistics'!C11</f>
        <v>55.1</v>
      </c>
      <c r="J12" s="45">
        <f>'Weather Statistics'!D11</f>
        <v>100</v>
      </c>
      <c r="K12" s="45">
        <f>VLOOKUP(B12,'cost-of-living-index-by-state-2'!$A$2:$H$52,2,FALSE)</f>
        <v>100.7</v>
      </c>
      <c r="L12" s="118">
        <f>VLOOKUP(Table1[[#This Row],[State]],'Average housing'!$A$1:$J$52, 5,FALSE)</f>
        <v>104.5</v>
      </c>
      <c r="M12"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58.16742000719541</v>
      </c>
    </row>
    <row r="13" spans="1:13" ht="13.15">
      <c r="A13" s="50">
        <v>11</v>
      </c>
      <c r="B13" s="54" t="s">
        <v>22</v>
      </c>
      <c r="C13" s="117" t="s">
        <v>40</v>
      </c>
      <c r="D13" s="45">
        <f>VLOOKUP(B13, 'Healthcare rank'!$B$2:$F$52, 2, FALSE)</f>
        <v>50.82</v>
      </c>
      <c r="E13" s="45">
        <f>_xlfn.XLOOKUP(B13,'Safety Ranking'!$B$2:$B$51,'Safety Ranking'!$C$2:$C$51,"Not found")</f>
        <v>51.5</v>
      </c>
      <c r="F13" s="46">
        <f>VLOOKUP(B13,'Average housing'!$A$1:$J$52, 2, FALSE)</f>
        <v>1524</v>
      </c>
      <c r="G13" s="45">
        <f>VLOOKUP(B13,'Crime Rate'!$A$2:$N$52,3,FALSE)</f>
        <v>2460</v>
      </c>
      <c r="H13" s="45">
        <f>VLOOKUP(B13, Education!$B$2:$C$52, 2, FALSE)</f>
        <v>48.04</v>
      </c>
      <c r="I13" s="45">
        <f>'Weather Statistics'!C12</f>
        <v>59</v>
      </c>
      <c r="J13" s="45">
        <f>'Weather Statistics'!D12</f>
        <v>109</v>
      </c>
      <c r="K13" s="45">
        <f>VLOOKUP(B13,'cost-of-living-index-by-state-2'!$A$2:$H$52,2,FALSE)</f>
        <v>97.8</v>
      </c>
      <c r="L13" s="118">
        <f>VLOOKUP(Table1[[#This Row],[State]],'Average housing'!$A$1:$J$52, 5,FALSE)</f>
        <v>93.3</v>
      </c>
      <c r="M13"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48.864225787812011</v>
      </c>
    </row>
    <row r="14" spans="1:13" ht="13.15">
      <c r="A14" s="50">
        <v>12</v>
      </c>
      <c r="B14" s="54" t="s">
        <v>20</v>
      </c>
      <c r="C14" s="117" t="s">
        <v>40</v>
      </c>
      <c r="D14" s="45">
        <f>VLOOKUP(B14, 'Healthcare rank'!$B$2:$F$52, 2, FALSE)</f>
        <v>53.21</v>
      </c>
      <c r="E14" s="45">
        <f>_xlfn.XLOOKUP(B14,'Safety Ranking'!$B$2:$B$51,'Safety Ranking'!$C$2:$C$51,"Not found")</f>
        <v>43.32</v>
      </c>
      <c r="F14" s="46">
        <f>VLOOKUP(B14,'Average housing'!$A$1:$J$52, 2, FALSE)</f>
        <v>1594</v>
      </c>
      <c r="G14" s="45">
        <f>VLOOKUP(B14,'Crime Rate'!$A$2:$N$52,3,FALSE)</f>
        <v>2660</v>
      </c>
      <c r="H14" s="45">
        <f>VLOOKUP(B14, Education!$B$2:$C$52, 2, FALSE)</f>
        <v>42.92</v>
      </c>
      <c r="I14" s="45">
        <f>'Weather Statistics'!C13</f>
        <v>62.4</v>
      </c>
      <c r="J14" s="45">
        <f>'Weather Statistics'!D13</f>
        <v>115</v>
      </c>
      <c r="K14" s="45">
        <f>VLOOKUP(B14,'cost-of-living-index-by-state-2'!$A$2:$H$52,2,FALSE)</f>
        <v>95.9</v>
      </c>
      <c r="L14" s="118">
        <f>VLOOKUP(Table1[[#This Row],[State]],'Average housing'!$A$1:$J$52, 5,FALSE)</f>
        <v>86.7</v>
      </c>
      <c r="M14"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44.886926256491336</v>
      </c>
    </row>
    <row r="15" spans="1:13" ht="13.15">
      <c r="A15" s="50">
        <v>13</v>
      </c>
      <c r="B15" s="54" t="s">
        <v>24</v>
      </c>
      <c r="C15" s="117" t="s">
        <v>40</v>
      </c>
      <c r="D15" s="45">
        <f>VLOOKUP(B15, 'Healthcare rank'!$B$2:$F$52, 2, FALSE)</f>
        <v>48.61</v>
      </c>
      <c r="E15" s="45">
        <f>_xlfn.XLOOKUP(B15,'Safety Ranking'!$B$2:$B$51,'Safety Ranking'!$C$2:$C$51,"Not found")</f>
        <v>42.92</v>
      </c>
      <c r="F15" s="46">
        <f>VLOOKUP(B15,'Average housing'!$A$1:$J$52, 2, FALSE)</f>
        <v>1608</v>
      </c>
      <c r="G15" s="45">
        <f>VLOOKUP(B15,'Crime Rate'!$A$2:$N$52,3,FALSE)</f>
        <v>2180</v>
      </c>
      <c r="H15" s="45">
        <f>VLOOKUP(B15, Education!$B$2:$C$52, 2, FALSE)</f>
        <v>47.42</v>
      </c>
      <c r="I15" s="45">
        <f>'Weather Statistics'!C14</f>
        <v>63.5</v>
      </c>
      <c r="J15" s="45">
        <f>'Weather Statistics'!D14</f>
        <v>112</v>
      </c>
      <c r="K15" s="45">
        <f>VLOOKUP(B15,'cost-of-living-index-by-state-2'!$A$2:$H$52,2,FALSE)</f>
        <v>91.3</v>
      </c>
      <c r="L15" s="118">
        <f>VLOOKUP(Table1[[#This Row],[State]],'Average housing'!$A$1:$J$52, 5,FALSE)</f>
        <v>79.2</v>
      </c>
      <c r="M15" s="121">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44.442899619508495</v>
      </c>
    </row>
    <row r="16" spans="1:13" ht="13.15">
      <c r="A16" s="51">
        <v>14</v>
      </c>
      <c r="B16" s="55" t="s">
        <v>23</v>
      </c>
      <c r="C16" s="119" t="s">
        <v>40</v>
      </c>
      <c r="D16" s="47">
        <f>VLOOKUP(B16, 'Healthcare rank'!$B$2:$F$52, 2, FALSE)</f>
        <v>50.77</v>
      </c>
      <c r="E16" s="47">
        <f>_xlfn.XLOOKUP(B16,'Safety Ranking'!$B$2:$B$51,'Safety Ranking'!$C$2:$C$51,"Not found")</f>
        <v>37.659999999999997</v>
      </c>
      <c r="F16" s="48">
        <f>VLOOKUP(B16,'Average housing'!$A$1:$J$52, 2, FALSE)</f>
        <v>1955</v>
      </c>
      <c r="G16" s="47">
        <f>VLOOKUP(B16,'Crime Rate'!$A$2:$N$52,3,FALSE)</f>
        <v>1810</v>
      </c>
      <c r="H16" s="47">
        <f>VLOOKUP(B16, Education!$B$2:$C$52, 2, FALSE)</f>
        <v>57.33</v>
      </c>
      <c r="I16" s="47">
        <f>'Weather Statistics'!C15</f>
        <v>70.7</v>
      </c>
      <c r="J16" s="47">
        <f>'Weather Statistics'!D15</f>
        <v>101</v>
      </c>
      <c r="K16" s="47">
        <f>VLOOKUP(B16,'cost-of-living-index-by-state-2'!$A$2:$H$52,2,FALSE)</f>
        <v>102.8</v>
      </c>
      <c r="L16" s="120">
        <f>VLOOKUP(Table1[[#This Row],[State]],'Average housing'!$A$1:$J$52, 5,FALSE)</f>
        <v>108.1</v>
      </c>
      <c r="M16" s="122">
        <f>(
  (Table1[[#This Row],[Safety Index]] - MIN(Table1[Safety Index])) / (MAX(Table1[Safety Index]) - MIN(Table1[Safety Index])) * $L$20 +
  (Table1[[#This Row],[Healthcare score]] - MIN(Table1[Healthcare score])) / (MAX(Table1[Healthcare score]) - MIN(Table1[Healthcare score])) * $L$21 +
  (MAX(Table1[Average Housing Rent (Monthly)]) - Table1[[#This Row],[Average Housing Rent (Monthly)]]) / (MAX(Table1[Average Housing Rent (Monthly)]) - MIN(Table1[Average Housing Rent (Monthly)])) * $L$22 +
  (Table1[[#This Row],[Education Score]] - MIN(Table1[Education Score])) / (MAX(Table1[Education Score]) - MIN(Table1[Education Score])) * $L$23 +
  (Table1[[#This Row],[Avg Annual Temp. ]] - MIN(Table1[Avg Annual Temp. ])) / (MAX(Table1[Avg Annual Temp. ]) - MIN(Table1[Avg Annual Temp. ])) * $L$24 +
  (MAX(Table1[Cost of Living]) - Table1[[#This Row],[Cost of Living]]) / (MAX(Table1[Cost of Living]) - MIN(Table1[Cost of Living])) * $L$25 +
  (MAX(Table1[Crime Rate (per 100,000)]) - Table1[[#This Row],[Crime Rate (per 100,000)]]) / (MAX(Table1[Crime Rate (per 100,000)]) - MIN(Table1[Crime Rate (per 100,000)])) * $L$26 +
  (Table1[[#This Row],[Avg Clear/Sunny Day (Annually)]] - MIN(Table1[Avg Clear/Sunny Day (Annually)])) / (MAX(Table1[Avg Clear/Sunny Day (Annually)]) - MIN(Table1[Avg Clear/Sunny Day (Annually)])) * $L$27)</f>
        <v>43.959515359834661</v>
      </c>
    </row>
    <row r="17" spans="1:12" ht="13.15">
      <c r="A17" s="53"/>
      <c r="B17" s="113"/>
      <c r="C17" s="114"/>
      <c r="D17" s="53"/>
      <c r="E17" s="53"/>
      <c r="F17" s="115"/>
      <c r="G17" s="53"/>
      <c r="H17" s="53"/>
      <c r="I17" s="53"/>
      <c r="J17" s="53"/>
      <c r="K17" s="53"/>
    </row>
    <row r="18" spans="1:12" s="56" customFormat="1" ht="30" customHeight="1">
      <c r="A18" s="131" t="s">
        <v>41</v>
      </c>
      <c r="B18" s="131"/>
      <c r="C18" s="123"/>
      <c r="D18" s="131" t="s">
        <v>42</v>
      </c>
      <c r="E18" s="131"/>
      <c r="F18" s="131"/>
      <c r="G18" s="123"/>
      <c r="H18" s="131" t="s">
        <v>43</v>
      </c>
      <c r="I18" s="131"/>
      <c r="J18" s="123"/>
      <c r="K18" s="132" t="s">
        <v>44</v>
      </c>
      <c r="L18" s="132"/>
    </row>
    <row r="19" spans="1:12" ht="26.25">
      <c r="A19" s="116" t="s">
        <v>25</v>
      </c>
      <c r="B19" s="58" t="s">
        <v>45</v>
      </c>
      <c r="D19" s="116" t="s">
        <v>25</v>
      </c>
      <c r="E19" s="58" t="s">
        <v>46</v>
      </c>
      <c r="F19" s="58" t="s">
        <v>47</v>
      </c>
      <c r="H19" s="116" t="s">
        <v>25</v>
      </c>
      <c r="I19" s="58" t="s">
        <v>48</v>
      </c>
      <c r="K19" s="124" t="s">
        <v>49</v>
      </c>
      <c r="L19" s="124" t="s">
        <v>50</v>
      </c>
    </row>
    <row r="20" spans="1:12" ht="13.15">
      <c r="A20" s="52" t="s">
        <v>13</v>
      </c>
      <c r="B20" s="133">
        <v>74.36</v>
      </c>
      <c r="D20" s="52" t="s">
        <v>17</v>
      </c>
      <c r="E20" s="133">
        <v>117.2</v>
      </c>
      <c r="F20" s="133">
        <v>112.3</v>
      </c>
      <c r="H20" s="52" t="s">
        <v>22</v>
      </c>
      <c r="I20" s="125">
        <v>1524</v>
      </c>
      <c r="K20" s="56" t="s">
        <v>1</v>
      </c>
      <c r="L20" s="58">
        <f>Dashboard!H11</f>
        <v>20</v>
      </c>
    </row>
    <row r="21" spans="1:12" ht="13.15">
      <c r="A21" s="52" t="s">
        <v>17</v>
      </c>
      <c r="B21" s="133">
        <v>67.06</v>
      </c>
      <c r="D21" s="52" t="s">
        <v>19</v>
      </c>
      <c r="E21" s="133">
        <v>97.4</v>
      </c>
      <c r="F21" s="133">
        <v>100.8</v>
      </c>
      <c r="H21" s="52" t="s">
        <v>20</v>
      </c>
      <c r="I21" s="125">
        <v>1594</v>
      </c>
      <c r="K21" s="56" t="s">
        <v>2</v>
      </c>
      <c r="L21" s="58">
        <f>Dashboard!I11</f>
        <v>20</v>
      </c>
    </row>
    <row r="22" spans="1:12" ht="13.15">
      <c r="A22" s="52" t="s">
        <v>15</v>
      </c>
      <c r="B22" s="133">
        <v>63.6</v>
      </c>
      <c r="D22" s="52" t="s">
        <v>23</v>
      </c>
      <c r="E22" s="133">
        <v>108.1</v>
      </c>
      <c r="F22" s="133">
        <v>102.8</v>
      </c>
      <c r="H22" s="52" t="s">
        <v>24</v>
      </c>
      <c r="I22" s="125">
        <v>1608</v>
      </c>
      <c r="K22" s="56" t="s">
        <v>3</v>
      </c>
      <c r="L22" s="58">
        <f>Dashboard!J11</f>
        <v>10</v>
      </c>
    </row>
    <row r="23" spans="1:12" ht="13.15">
      <c r="A23" s="52" t="s">
        <v>18</v>
      </c>
      <c r="B23" s="133">
        <v>63.45</v>
      </c>
      <c r="D23" s="52" t="s">
        <v>24</v>
      </c>
      <c r="E23" s="133">
        <v>79.2</v>
      </c>
      <c r="F23" s="133">
        <v>91.3</v>
      </c>
      <c r="H23" s="52" t="s">
        <v>19</v>
      </c>
      <c r="I23" s="125">
        <v>1646</v>
      </c>
      <c r="K23" s="56" t="s">
        <v>4</v>
      </c>
      <c r="L23" s="58">
        <f>Dashboard!K11</f>
        <v>10</v>
      </c>
    </row>
    <row r="24" spans="1:12" ht="13.15">
      <c r="A24" s="52" t="s">
        <v>12</v>
      </c>
      <c r="B24" s="133">
        <v>60.07</v>
      </c>
      <c r="D24" s="52" t="s">
        <v>14</v>
      </c>
      <c r="E24" s="133">
        <v>128.69999999999999</v>
      </c>
      <c r="F24" s="133">
        <v>112.1</v>
      </c>
      <c r="H24" s="52" t="s">
        <v>15</v>
      </c>
      <c r="I24" s="125">
        <v>1859</v>
      </c>
      <c r="K24" s="56" t="s">
        <v>5</v>
      </c>
      <c r="L24" s="58">
        <f>Dashboard!L11</f>
        <v>10</v>
      </c>
    </row>
    <row r="25" spans="1:12" ht="13.15">
      <c r="A25" s="52" t="s">
        <v>21</v>
      </c>
      <c r="B25" s="133">
        <v>58.25</v>
      </c>
      <c r="D25" s="52" t="s">
        <v>15</v>
      </c>
      <c r="E25" s="133">
        <v>135.80000000000001</v>
      </c>
      <c r="F25" s="133">
        <v>115.3</v>
      </c>
      <c r="H25" s="52" t="s">
        <v>23</v>
      </c>
      <c r="I25" s="125">
        <v>1955</v>
      </c>
      <c r="K25" s="56" t="s">
        <v>6</v>
      </c>
      <c r="L25" s="58">
        <f>Dashboard!M11</f>
        <v>10</v>
      </c>
    </row>
    <row r="26" spans="1:12" ht="13.15">
      <c r="A26" s="52" t="s">
        <v>16</v>
      </c>
      <c r="B26" s="133">
        <v>57.81</v>
      </c>
      <c r="D26" s="52" t="s">
        <v>13</v>
      </c>
      <c r="E26" s="133">
        <v>218.8</v>
      </c>
      <c r="F26" s="133">
        <v>145.9</v>
      </c>
      <c r="H26" s="52" t="s">
        <v>14</v>
      </c>
      <c r="I26" s="125">
        <v>1971</v>
      </c>
      <c r="K26" s="56" t="s">
        <v>7</v>
      </c>
      <c r="L26" s="58" cm="1">
        <f t="array" ref="L26">Table4[Crime Rate]</f>
        <v>10</v>
      </c>
    </row>
    <row r="27" spans="1:12" ht="13.15">
      <c r="A27" s="52" t="s">
        <v>23</v>
      </c>
      <c r="B27" s="133">
        <v>57.33</v>
      </c>
      <c r="D27" s="52" t="s">
        <v>12</v>
      </c>
      <c r="E27" s="133">
        <v>117.5</v>
      </c>
      <c r="F27" s="133">
        <v>112.6</v>
      </c>
      <c r="H27" s="52" t="s">
        <v>16</v>
      </c>
      <c r="I27" s="125">
        <v>1972</v>
      </c>
      <c r="K27" s="56" t="s">
        <v>8</v>
      </c>
      <c r="L27" s="58" cm="1">
        <f t="array" ref="L27">Table4[Sunny Days]</f>
        <v>10</v>
      </c>
    </row>
    <row r="28" spans="1:12" ht="13.15">
      <c r="A28" s="52" t="s">
        <v>19</v>
      </c>
      <c r="B28" s="133">
        <v>56.69</v>
      </c>
      <c r="D28" s="52" t="s">
        <v>18</v>
      </c>
      <c r="E28" s="133">
        <v>136.9</v>
      </c>
      <c r="F28" s="133">
        <v>114.6</v>
      </c>
      <c r="H28" s="52" t="s">
        <v>17</v>
      </c>
      <c r="I28" s="125">
        <v>2044</v>
      </c>
    </row>
    <row r="29" spans="1:12" ht="13.15">
      <c r="A29" s="52" t="s">
        <v>14</v>
      </c>
      <c r="B29" s="133">
        <v>55.71</v>
      </c>
      <c r="D29" s="52" t="s">
        <v>21</v>
      </c>
      <c r="E29" s="133">
        <v>168</v>
      </c>
      <c r="F29" s="133">
        <v>123.3</v>
      </c>
      <c r="H29" s="52" t="s">
        <v>12</v>
      </c>
      <c r="I29" s="125">
        <v>2112</v>
      </c>
    </row>
    <row r="30" spans="1:12" ht="13.15">
      <c r="A30" s="52" t="s">
        <v>11</v>
      </c>
      <c r="B30" s="133">
        <v>54.81</v>
      </c>
      <c r="D30" s="52" t="s">
        <v>22</v>
      </c>
      <c r="E30" s="133">
        <v>93.3</v>
      </c>
      <c r="F30" s="133">
        <v>97.8</v>
      </c>
      <c r="H30" s="52" t="s">
        <v>11</v>
      </c>
      <c r="I30" s="125">
        <v>2129</v>
      </c>
    </row>
    <row r="31" spans="1:12" ht="13.15">
      <c r="A31" s="52" t="s">
        <v>22</v>
      </c>
      <c r="B31" s="133">
        <v>48.04</v>
      </c>
      <c r="D31" s="52" t="s">
        <v>11</v>
      </c>
      <c r="E31" s="133">
        <v>113.4</v>
      </c>
      <c r="F31" s="133">
        <v>112.2</v>
      </c>
      <c r="H31" s="52" t="s">
        <v>18</v>
      </c>
      <c r="I31" s="125">
        <v>2337</v>
      </c>
    </row>
    <row r="32" spans="1:12" ht="13.15">
      <c r="A32" s="52" t="s">
        <v>24</v>
      </c>
      <c r="B32" s="133">
        <v>47.42</v>
      </c>
      <c r="D32" s="52" t="s">
        <v>20</v>
      </c>
      <c r="E32" s="133">
        <v>86.7</v>
      </c>
      <c r="F32" s="133">
        <v>95.9</v>
      </c>
      <c r="H32" s="52" t="s">
        <v>21</v>
      </c>
      <c r="I32" s="125">
        <v>2739</v>
      </c>
    </row>
    <row r="33" spans="1:9" ht="13.15">
      <c r="A33" s="52" t="s">
        <v>20</v>
      </c>
      <c r="B33" s="133">
        <v>42.92</v>
      </c>
      <c r="D33" s="52" t="s">
        <v>16</v>
      </c>
      <c r="E33" s="133">
        <v>104.5</v>
      </c>
      <c r="F33" s="133">
        <v>100.7</v>
      </c>
      <c r="H33" s="52" t="s">
        <v>13</v>
      </c>
      <c r="I33" s="125">
        <v>2837</v>
      </c>
    </row>
  </sheetData>
  <mergeCells count="4">
    <mergeCell ref="A18:B18"/>
    <mergeCell ref="D18:F18"/>
    <mergeCell ref="H18:I18"/>
    <mergeCell ref="K18:L18"/>
  </mergeCells>
  <conditionalFormatting sqref="M2:M16">
    <cfRule type="colorScale" priority="2">
      <colorScale>
        <cfvo type="min"/>
        <cfvo type="percentile" val="50"/>
        <cfvo type="max"/>
        <color rgb="FFF8696B"/>
        <color rgb="FFFFEB84"/>
        <color rgb="FF63BE7B"/>
      </colorScale>
    </cfRule>
  </conditionalFormatting>
  <conditionalFormatting sqref="M3:M16">
    <cfRule type="colorScale" priority="1">
      <colorScale>
        <cfvo type="min"/>
        <cfvo type="max"/>
        <color rgb="FFFCFCFF"/>
        <color rgb="FF63BE7B"/>
      </colorScale>
    </cfRule>
  </conditionalFormatting>
  <dataValidations count="2">
    <dataValidation type="custom" allowBlank="1" showDropDown="1" sqref="A3:A17" xr:uid="{00000000-0002-0000-0100-000000000000}">
      <formula1>AND(ISNUMBER(A3),(NOT(OR(NOT(ISERROR(DATEVALUE(A3))), AND(ISNUMBER(A3), LEFT(CELL("format", A3))="D")))))</formula1>
    </dataValidation>
    <dataValidation allowBlank="1" showDropDown="1" sqref="B3:C17" xr:uid="{00000000-0002-0000-0100-000001000000}"/>
  </dataValidation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utton 1">
              <controlPr defaultSize="0" print="0" autoFill="0" autoPict="0" macro="[0]!Dashboard">
                <anchor>
                  <from>
                    <xdr:col>10</xdr:col>
                    <xdr:colOff>95250</xdr:colOff>
                    <xdr:row>29</xdr:row>
                    <xdr:rowOff>19050</xdr:rowOff>
                  </from>
                  <to>
                    <xdr:col>11</xdr:col>
                    <xdr:colOff>819150</xdr:colOff>
                    <xdr:row>33</xdr:row>
                    <xdr:rowOff>66675</xdr:rowOff>
                  </to>
                </anchor>
              </controlPr>
            </control>
          </mc:Choice>
        </mc:AlternateContent>
      </controls>
    </mc:Choice>
  </mc:AlternateContent>
  <tableParts count="2">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F52"/>
  <sheetViews>
    <sheetView workbookViewId="0">
      <selection activeCell="H9" sqref="H9"/>
    </sheetView>
  </sheetViews>
  <sheetFormatPr defaultColWidth="10.46484375" defaultRowHeight="15.75" customHeight="1"/>
  <cols>
    <col min="1" max="1" width="10.46484375" style="5"/>
    <col min="2" max="2" width="21.1328125" style="5" bestFit="1" customWidth="1"/>
    <col min="3" max="5" width="10.46484375" style="5"/>
    <col min="6" max="6" width="15.53125" style="5" customWidth="1"/>
    <col min="7" max="16384" width="10.46484375" style="5"/>
  </cols>
  <sheetData>
    <row r="1" spans="1:6" s="78" customFormat="1" ht="27.75">
      <c r="A1" s="72" t="s">
        <v>51</v>
      </c>
      <c r="B1" s="72" t="s">
        <v>9</v>
      </c>
      <c r="C1" s="72" t="s">
        <v>52</v>
      </c>
      <c r="D1" s="72" t="s">
        <v>53</v>
      </c>
      <c r="E1" s="72" t="s">
        <v>54</v>
      </c>
      <c r="F1" s="72" t="s">
        <v>55</v>
      </c>
    </row>
    <row r="2" spans="1:6" ht="13.5">
      <c r="A2" s="79" t="s">
        <v>56</v>
      </c>
      <c r="B2" s="80" t="s">
        <v>57</v>
      </c>
      <c r="C2" s="80">
        <v>67.38</v>
      </c>
      <c r="D2" s="80">
        <v>2</v>
      </c>
      <c r="E2" s="80">
        <v>6</v>
      </c>
      <c r="F2" s="80">
        <v>11</v>
      </c>
    </row>
    <row r="3" spans="1:6" ht="13.5">
      <c r="A3" s="79" t="s">
        <v>58</v>
      </c>
      <c r="B3" s="80" t="s">
        <v>11</v>
      </c>
      <c r="C3" s="80">
        <v>67</v>
      </c>
      <c r="D3" s="80">
        <v>17</v>
      </c>
      <c r="E3" s="80">
        <v>1</v>
      </c>
      <c r="F3" s="80">
        <v>6</v>
      </c>
    </row>
    <row r="4" spans="1:6" ht="13.5">
      <c r="A4" s="79" t="s">
        <v>59</v>
      </c>
      <c r="B4" s="80" t="s">
        <v>60</v>
      </c>
      <c r="C4" s="80">
        <v>65.47</v>
      </c>
      <c r="D4" s="80">
        <v>5</v>
      </c>
      <c r="E4" s="80">
        <v>2</v>
      </c>
      <c r="F4" s="80">
        <v>19</v>
      </c>
    </row>
    <row r="5" spans="1:6" ht="13.5">
      <c r="A5" s="79" t="s">
        <v>61</v>
      </c>
      <c r="B5" s="80" t="s">
        <v>62</v>
      </c>
      <c r="C5" s="80">
        <v>65.09</v>
      </c>
      <c r="D5" s="80">
        <v>1</v>
      </c>
      <c r="E5" s="80">
        <v>30</v>
      </c>
      <c r="F5" s="80">
        <v>12</v>
      </c>
    </row>
    <row r="6" spans="1:6" ht="13.5">
      <c r="A6" s="79" t="s">
        <v>63</v>
      </c>
      <c r="B6" s="80" t="s">
        <v>12</v>
      </c>
      <c r="C6" s="80">
        <v>64.08</v>
      </c>
      <c r="D6" s="80">
        <v>15</v>
      </c>
      <c r="E6" s="80">
        <v>14</v>
      </c>
      <c r="F6" s="80">
        <v>8</v>
      </c>
    </row>
    <row r="7" spans="1:6" ht="13.5">
      <c r="A7" s="79" t="s">
        <v>64</v>
      </c>
      <c r="B7" s="80" t="s">
        <v>13</v>
      </c>
      <c r="C7" s="80">
        <v>64.05</v>
      </c>
      <c r="D7" s="80">
        <v>34</v>
      </c>
      <c r="E7" s="80">
        <v>7</v>
      </c>
      <c r="F7" s="80">
        <v>2</v>
      </c>
    </row>
    <row r="8" spans="1:6" ht="13.5">
      <c r="A8" s="79" t="s">
        <v>65</v>
      </c>
      <c r="B8" s="80" t="s">
        <v>66</v>
      </c>
      <c r="C8" s="80">
        <v>63.79</v>
      </c>
      <c r="D8" s="80">
        <v>20</v>
      </c>
      <c r="E8" s="80">
        <v>34</v>
      </c>
      <c r="F8" s="80">
        <v>1</v>
      </c>
    </row>
    <row r="9" spans="1:6" ht="13.5">
      <c r="A9" s="79" t="s">
        <v>67</v>
      </c>
      <c r="B9" s="80" t="s">
        <v>68</v>
      </c>
      <c r="C9" s="80">
        <v>63.64</v>
      </c>
      <c r="D9" s="80">
        <v>40</v>
      </c>
      <c r="E9" s="80">
        <v>3</v>
      </c>
      <c r="F9" s="80">
        <v>3</v>
      </c>
    </row>
    <row r="10" spans="1:6" ht="13.5">
      <c r="A10" s="79" t="s">
        <v>69</v>
      </c>
      <c r="B10" s="80" t="s">
        <v>14</v>
      </c>
      <c r="C10" s="80">
        <v>63.6</v>
      </c>
      <c r="D10" s="80">
        <v>24</v>
      </c>
      <c r="E10" s="80">
        <v>4</v>
      </c>
      <c r="F10" s="80">
        <v>15</v>
      </c>
    </row>
    <row r="11" spans="1:6" ht="13.5">
      <c r="A11" s="79" t="s">
        <v>70</v>
      </c>
      <c r="B11" s="80" t="s">
        <v>71</v>
      </c>
      <c r="C11" s="80">
        <v>62.6</v>
      </c>
      <c r="D11" s="80">
        <v>36</v>
      </c>
      <c r="E11" s="80">
        <v>9</v>
      </c>
      <c r="F11" s="80">
        <v>7</v>
      </c>
    </row>
    <row r="12" spans="1:6" ht="13.5">
      <c r="A12" s="79" t="s">
        <v>72</v>
      </c>
      <c r="B12" s="80" t="s">
        <v>73</v>
      </c>
      <c r="C12" s="80">
        <v>62.57</v>
      </c>
      <c r="D12" s="80">
        <v>23</v>
      </c>
      <c r="E12" s="80">
        <v>8</v>
      </c>
      <c r="F12" s="80">
        <v>16</v>
      </c>
    </row>
    <row r="13" spans="1:6" ht="13.5">
      <c r="A13" s="79" t="s">
        <v>74</v>
      </c>
      <c r="B13" s="80" t="s">
        <v>75</v>
      </c>
      <c r="C13" s="80">
        <v>62.49</v>
      </c>
      <c r="D13" s="80">
        <v>28</v>
      </c>
      <c r="E13" s="80">
        <v>24</v>
      </c>
      <c r="F13" s="80">
        <v>4</v>
      </c>
    </row>
    <row r="14" spans="1:6" ht="13.5">
      <c r="A14" s="79" t="s">
        <v>76</v>
      </c>
      <c r="B14" s="80" t="s">
        <v>77</v>
      </c>
      <c r="C14" s="80">
        <v>62.28</v>
      </c>
      <c r="D14" s="80">
        <v>6</v>
      </c>
      <c r="E14" s="80">
        <v>18</v>
      </c>
      <c r="F14" s="80">
        <v>20</v>
      </c>
    </row>
    <row r="15" spans="1:6" ht="13.5">
      <c r="A15" s="79" t="s">
        <v>78</v>
      </c>
      <c r="B15" s="80" t="s">
        <v>79</v>
      </c>
      <c r="C15" s="80">
        <v>61.95</v>
      </c>
      <c r="D15" s="80">
        <v>4</v>
      </c>
      <c r="E15" s="80">
        <v>31</v>
      </c>
      <c r="F15" s="80">
        <v>17</v>
      </c>
    </row>
    <row r="16" spans="1:6" ht="13.5">
      <c r="A16" s="79" t="s">
        <v>80</v>
      </c>
      <c r="B16" s="80" t="s">
        <v>81</v>
      </c>
      <c r="C16" s="80">
        <v>61.39</v>
      </c>
      <c r="D16" s="80">
        <v>9</v>
      </c>
      <c r="E16" s="80">
        <v>12</v>
      </c>
      <c r="F16" s="80">
        <v>25</v>
      </c>
    </row>
    <row r="17" spans="1:6" ht="13.5">
      <c r="A17" s="79" t="s">
        <v>82</v>
      </c>
      <c r="B17" s="80" t="s">
        <v>83</v>
      </c>
      <c r="C17" s="80">
        <v>61.04</v>
      </c>
      <c r="D17" s="80">
        <v>37</v>
      </c>
      <c r="E17" s="80">
        <v>5</v>
      </c>
      <c r="F17" s="80">
        <v>13</v>
      </c>
    </row>
    <row r="18" spans="1:6" ht="13.5">
      <c r="A18" s="79" t="s">
        <v>84</v>
      </c>
      <c r="B18" s="80" t="s">
        <v>15</v>
      </c>
      <c r="C18" s="80">
        <v>60.39</v>
      </c>
      <c r="D18" s="80">
        <v>11</v>
      </c>
      <c r="E18" s="80">
        <v>23</v>
      </c>
      <c r="F18" s="80">
        <v>21</v>
      </c>
    </row>
    <row r="19" spans="1:6" ht="13.5">
      <c r="A19" s="79" t="s">
        <v>85</v>
      </c>
      <c r="B19" s="80" t="s">
        <v>86</v>
      </c>
      <c r="C19" s="80">
        <v>60.09</v>
      </c>
      <c r="D19" s="80">
        <v>16</v>
      </c>
      <c r="E19" s="80">
        <v>15</v>
      </c>
      <c r="F19" s="80">
        <v>26</v>
      </c>
    </row>
    <row r="20" spans="1:6" ht="13.5">
      <c r="A20" s="79" t="s">
        <v>87</v>
      </c>
      <c r="B20" s="80" t="s">
        <v>88</v>
      </c>
      <c r="C20" s="80">
        <v>60.02</v>
      </c>
      <c r="D20" s="80">
        <v>26</v>
      </c>
      <c r="E20" s="80">
        <v>13</v>
      </c>
      <c r="F20" s="80">
        <v>22</v>
      </c>
    </row>
    <row r="21" spans="1:6" ht="13.5">
      <c r="A21" s="79" t="s">
        <v>89</v>
      </c>
      <c r="B21" s="80" t="s">
        <v>90</v>
      </c>
      <c r="C21" s="80">
        <v>59.38</v>
      </c>
      <c r="D21" s="80">
        <v>7</v>
      </c>
      <c r="E21" s="80">
        <v>11</v>
      </c>
      <c r="F21" s="80">
        <v>37</v>
      </c>
    </row>
    <row r="22" spans="1:6" ht="13.5">
      <c r="A22" s="79" t="s">
        <v>91</v>
      </c>
      <c r="B22" s="80" t="s">
        <v>16</v>
      </c>
      <c r="C22" s="80">
        <v>58.02</v>
      </c>
      <c r="D22" s="80">
        <v>8</v>
      </c>
      <c r="E22" s="80">
        <v>48</v>
      </c>
      <c r="F22" s="80">
        <v>23</v>
      </c>
    </row>
    <row r="23" spans="1:6" ht="13.5">
      <c r="A23" s="79" t="s">
        <v>92</v>
      </c>
      <c r="B23" s="80" t="s">
        <v>93</v>
      </c>
      <c r="C23" s="80">
        <v>57.69</v>
      </c>
      <c r="D23" s="80">
        <v>10</v>
      </c>
      <c r="E23" s="80">
        <v>26</v>
      </c>
      <c r="F23" s="80">
        <v>35</v>
      </c>
    </row>
    <row r="24" spans="1:6" ht="13.5">
      <c r="A24" s="79" t="s">
        <v>94</v>
      </c>
      <c r="B24" s="80" t="s">
        <v>95</v>
      </c>
      <c r="C24" s="80">
        <v>57.65</v>
      </c>
      <c r="D24" s="80">
        <v>31</v>
      </c>
      <c r="E24" s="80">
        <v>37</v>
      </c>
      <c r="F24" s="80">
        <v>14</v>
      </c>
    </row>
    <row r="25" spans="1:6" ht="13.5">
      <c r="A25" s="79" t="s">
        <v>96</v>
      </c>
      <c r="B25" s="80" t="s">
        <v>17</v>
      </c>
      <c r="C25" s="80">
        <v>57.65</v>
      </c>
      <c r="D25" s="80">
        <v>48</v>
      </c>
      <c r="E25" s="80">
        <v>16</v>
      </c>
      <c r="F25" s="80">
        <v>9</v>
      </c>
    </row>
    <row r="26" spans="1:6" ht="13.5">
      <c r="A26" s="79" t="s">
        <v>97</v>
      </c>
      <c r="B26" s="80" t="s">
        <v>18</v>
      </c>
      <c r="C26" s="80">
        <v>56.57</v>
      </c>
      <c r="D26" s="80">
        <v>27</v>
      </c>
      <c r="E26" s="80">
        <v>19</v>
      </c>
      <c r="F26" s="80">
        <v>31</v>
      </c>
    </row>
    <row r="27" spans="1:6" ht="13.5">
      <c r="A27" s="79" t="s">
        <v>98</v>
      </c>
      <c r="B27" s="80" t="s">
        <v>99</v>
      </c>
      <c r="C27" s="80">
        <v>56.4</v>
      </c>
      <c r="D27" s="80">
        <v>12</v>
      </c>
      <c r="E27" s="80">
        <v>33</v>
      </c>
      <c r="F27" s="80">
        <v>33</v>
      </c>
    </row>
    <row r="28" spans="1:6" ht="13.5">
      <c r="A28" s="79" t="s">
        <v>100</v>
      </c>
      <c r="B28" s="80" t="s">
        <v>101</v>
      </c>
      <c r="C28" s="80">
        <v>55.96</v>
      </c>
      <c r="D28" s="80">
        <v>45</v>
      </c>
      <c r="E28" s="80">
        <v>35</v>
      </c>
      <c r="F28" s="80">
        <v>10</v>
      </c>
    </row>
    <row r="29" spans="1:6" ht="13.5">
      <c r="A29" s="79" t="s">
        <v>102</v>
      </c>
      <c r="B29" s="80" t="s">
        <v>103</v>
      </c>
      <c r="C29" s="80">
        <v>55.91</v>
      </c>
      <c r="D29" s="80">
        <v>38</v>
      </c>
      <c r="E29" s="80">
        <v>22</v>
      </c>
      <c r="F29" s="80">
        <v>28</v>
      </c>
    </row>
    <row r="30" spans="1:6" ht="13.5">
      <c r="A30" s="79" t="s">
        <v>104</v>
      </c>
      <c r="B30" s="80" t="s">
        <v>105</v>
      </c>
      <c r="C30" s="80">
        <v>55.57</v>
      </c>
      <c r="D30" s="80">
        <v>3</v>
      </c>
      <c r="E30" s="80">
        <v>10</v>
      </c>
      <c r="F30" s="80">
        <v>49</v>
      </c>
    </row>
    <row r="31" spans="1:6" ht="13.5">
      <c r="A31" s="79" t="s">
        <v>106</v>
      </c>
      <c r="B31" s="80" t="s">
        <v>107</v>
      </c>
      <c r="C31" s="80">
        <v>55.32</v>
      </c>
      <c r="D31" s="80">
        <v>49</v>
      </c>
      <c r="E31" s="80">
        <v>45</v>
      </c>
      <c r="F31" s="80">
        <v>5</v>
      </c>
    </row>
    <row r="32" spans="1:6" ht="13.5">
      <c r="A32" s="79" t="s">
        <v>108</v>
      </c>
      <c r="B32" s="80" t="s">
        <v>19</v>
      </c>
      <c r="C32" s="80">
        <v>55.24</v>
      </c>
      <c r="D32" s="80">
        <v>39</v>
      </c>
      <c r="E32" s="80">
        <v>28</v>
      </c>
      <c r="F32" s="80">
        <v>27</v>
      </c>
    </row>
    <row r="33" spans="1:6" ht="13.5">
      <c r="A33" s="79" t="s">
        <v>109</v>
      </c>
      <c r="B33" s="80" t="s">
        <v>110</v>
      </c>
      <c r="C33" s="80">
        <v>54.66</v>
      </c>
      <c r="D33" s="80">
        <v>42</v>
      </c>
      <c r="E33" s="80">
        <v>38</v>
      </c>
      <c r="F33" s="80">
        <v>18</v>
      </c>
    </row>
    <row r="34" spans="1:6" ht="13.5">
      <c r="A34" s="79" t="s">
        <v>111</v>
      </c>
      <c r="B34" s="80" t="s">
        <v>112</v>
      </c>
      <c r="C34" s="80">
        <v>53.89</v>
      </c>
      <c r="D34" s="80">
        <v>13</v>
      </c>
      <c r="E34" s="80">
        <v>43</v>
      </c>
      <c r="F34" s="80">
        <v>40</v>
      </c>
    </row>
    <row r="35" spans="1:6" ht="13.5">
      <c r="A35" s="79" t="s">
        <v>113</v>
      </c>
      <c r="B35" s="80" t="s">
        <v>114</v>
      </c>
      <c r="C35" s="80">
        <v>53.66</v>
      </c>
      <c r="D35" s="80">
        <v>22</v>
      </c>
      <c r="E35" s="80">
        <v>46</v>
      </c>
      <c r="F35" s="80">
        <v>36</v>
      </c>
    </row>
    <row r="36" spans="1:6" ht="13.5">
      <c r="A36" s="79" t="s">
        <v>115</v>
      </c>
      <c r="B36" s="80" t="s">
        <v>20</v>
      </c>
      <c r="C36" s="80">
        <v>53.21</v>
      </c>
      <c r="D36" s="80">
        <v>29</v>
      </c>
      <c r="E36" s="80">
        <v>36</v>
      </c>
      <c r="F36" s="80">
        <v>39</v>
      </c>
    </row>
    <row r="37" spans="1:6" ht="13.5">
      <c r="A37" s="79" t="s">
        <v>116</v>
      </c>
      <c r="B37" s="80" t="s">
        <v>117</v>
      </c>
      <c r="C37" s="80">
        <v>53.03</v>
      </c>
      <c r="D37" s="80">
        <v>19</v>
      </c>
      <c r="E37" s="80">
        <v>41</v>
      </c>
      <c r="F37" s="80">
        <v>41</v>
      </c>
    </row>
    <row r="38" spans="1:6" ht="13.5">
      <c r="A38" s="79" t="s">
        <v>118</v>
      </c>
      <c r="B38" s="80" t="s">
        <v>119</v>
      </c>
      <c r="C38" s="80">
        <v>52.99</v>
      </c>
      <c r="D38" s="80">
        <v>47</v>
      </c>
      <c r="E38" s="80">
        <v>27</v>
      </c>
      <c r="F38" s="80">
        <v>29</v>
      </c>
    </row>
    <row r="39" spans="1:6" ht="13.5">
      <c r="A39" s="79" t="s">
        <v>120</v>
      </c>
      <c r="B39" s="80" t="s">
        <v>21</v>
      </c>
      <c r="C39" s="80">
        <v>52.97</v>
      </c>
      <c r="D39" s="80">
        <v>50</v>
      </c>
      <c r="E39" s="80">
        <v>29</v>
      </c>
      <c r="F39" s="80">
        <v>24</v>
      </c>
    </row>
    <row r="40" spans="1:6" ht="13.5">
      <c r="A40" s="79" t="s">
        <v>121</v>
      </c>
      <c r="B40" s="80" t="s">
        <v>122</v>
      </c>
      <c r="C40" s="80">
        <v>51.92</v>
      </c>
      <c r="D40" s="80">
        <v>46</v>
      </c>
      <c r="E40" s="80">
        <v>25</v>
      </c>
      <c r="F40" s="80">
        <v>34</v>
      </c>
    </row>
    <row r="41" spans="1:6" ht="13.5">
      <c r="A41" s="79" t="s">
        <v>123</v>
      </c>
      <c r="B41" s="80" t="s">
        <v>124</v>
      </c>
      <c r="C41" s="80">
        <v>50.95</v>
      </c>
      <c r="D41" s="80">
        <v>14</v>
      </c>
      <c r="E41" s="80">
        <v>40</v>
      </c>
      <c r="F41" s="80">
        <v>45</v>
      </c>
    </row>
    <row r="42" spans="1:6" ht="13.5">
      <c r="A42" s="79" t="s">
        <v>125</v>
      </c>
      <c r="B42" s="80" t="s">
        <v>22</v>
      </c>
      <c r="C42" s="80">
        <v>50.82</v>
      </c>
      <c r="D42" s="80">
        <v>43</v>
      </c>
      <c r="E42" s="80">
        <v>47</v>
      </c>
      <c r="F42" s="80">
        <v>30</v>
      </c>
    </row>
    <row r="43" spans="1:6" ht="13.5">
      <c r="A43" s="79" t="s">
        <v>126</v>
      </c>
      <c r="B43" s="80" t="s">
        <v>23</v>
      </c>
      <c r="C43" s="80">
        <v>50.77</v>
      </c>
      <c r="D43" s="80">
        <v>35</v>
      </c>
      <c r="E43" s="80">
        <v>42</v>
      </c>
      <c r="F43" s="80">
        <v>42</v>
      </c>
    </row>
    <row r="44" spans="1:6" ht="13.5">
      <c r="A44" s="79" t="s">
        <v>127</v>
      </c>
      <c r="B44" s="80" t="s">
        <v>128</v>
      </c>
      <c r="C44" s="80">
        <v>50.38</v>
      </c>
      <c r="D44" s="80">
        <v>33</v>
      </c>
      <c r="E44" s="80">
        <v>21</v>
      </c>
      <c r="F44" s="80">
        <v>46</v>
      </c>
    </row>
    <row r="45" spans="1:6" ht="13.5">
      <c r="A45" s="79" t="s">
        <v>129</v>
      </c>
      <c r="B45" s="80" t="s">
        <v>130</v>
      </c>
      <c r="C45" s="80">
        <v>49.48</v>
      </c>
      <c r="D45" s="80">
        <v>18</v>
      </c>
      <c r="E45" s="80">
        <v>32</v>
      </c>
      <c r="F45" s="80">
        <v>50</v>
      </c>
    </row>
    <row r="46" spans="1:6" ht="13.5">
      <c r="A46" s="79" t="s">
        <v>131</v>
      </c>
      <c r="B46" s="80" t="s">
        <v>132</v>
      </c>
      <c r="C46" s="80">
        <v>49.39</v>
      </c>
      <c r="D46" s="80">
        <v>41</v>
      </c>
      <c r="E46" s="80">
        <v>49</v>
      </c>
      <c r="F46" s="80">
        <v>38</v>
      </c>
    </row>
    <row r="47" spans="1:6" ht="13.5">
      <c r="A47" s="79" t="s">
        <v>133</v>
      </c>
      <c r="B47" s="80" t="s">
        <v>134</v>
      </c>
      <c r="C47" s="80">
        <v>49.13</v>
      </c>
      <c r="D47" s="80">
        <v>51</v>
      </c>
      <c r="E47" s="80">
        <v>19</v>
      </c>
      <c r="F47" s="80">
        <v>32</v>
      </c>
    </row>
    <row r="48" spans="1:6" ht="13.5">
      <c r="A48" s="79" t="s">
        <v>135</v>
      </c>
      <c r="B48" s="80" t="s">
        <v>136</v>
      </c>
      <c r="C48" s="80">
        <v>48.93</v>
      </c>
      <c r="D48" s="80">
        <v>30</v>
      </c>
      <c r="E48" s="80">
        <v>44</v>
      </c>
      <c r="F48" s="80">
        <v>44</v>
      </c>
    </row>
    <row r="49" spans="1:6" ht="13.5">
      <c r="A49" s="79" t="s">
        <v>137</v>
      </c>
      <c r="B49" s="80" t="s">
        <v>24</v>
      </c>
      <c r="C49" s="80">
        <v>48.61</v>
      </c>
      <c r="D49" s="80">
        <v>32</v>
      </c>
      <c r="E49" s="80">
        <v>51</v>
      </c>
      <c r="F49" s="80">
        <v>43</v>
      </c>
    </row>
    <row r="50" spans="1:6" ht="13.5">
      <c r="A50" s="79" t="s">
        <v>138</v>
      </c>
      <c r="B50" s="80" t="s">
        <v>139</v>
      </c>
      <c r="C50" s="80">
        <v>48.46</v>
      </c>
      <c r="D50" s="80">
        <v>44</v>
      </c>
      <c r="E50" s="80">
        <v>17</v>
      </c>
      <c r="F50" s="80">
        <v>48</v>
      </c>
    </row>
    <row r="51" spans="1:6" ht="13.5">
      <c r="A51" s="79" t="s">
        <v>140</v>
      </c>
      <c r="B51" s="80" t="s">
        <v>141</v>
      </c>
      <c r="C51" s="80">
        <v>48.19</v>
      </c>
      <c r="D51" s="80">
        <v>21</v>
      </c>
      <c r="E51" s="80">
        <v>50</v>
      </c>
      <c r="F51" s="80">
        <v>47</v>
      </c>
    </row>
    <row r="52" spans="1:6" ht="13.5">
      <c r="A52" s="81">
        <v>51</v>
      </c>
      <c r="B52" s="81" t="s">
        <v>142</v>
      </c>
      <c r="C52" s="81">
        <v>46.01</v>
      </c>
      <c r="D52" s="81">
        <v>25</v>
      </c>
      <c r="E52" s="81">
        <v>39</v>
      </c>
      <c r="F52" s="81">
        <v>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Dashboard">
                <anchor moveWithCells="1">
                  <from>
                    <xdr:col>7</xdr:col>
                    <xdr:colOff>0</xdr:colOff>
                    <xdr:row>1</xdr:row>
                    <xdr:rowOff>0</xdr:rowOff>
                  </from>
                  <to>
                    <xdr:col>9</xdr:col>
                    <xdr:colOff>142875</xdr:colOff>
                    <xdr:row>4</xdr:row>
                    <xdr:rowOff>166688</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H51"/>
  <sheetViews>
    <sheetView workbookViewId="0">
      <selection activeCell="J8" sqref="J8"/>
    </sheetView>
  </sheetViews>
  <sheetFormatPr defaultColWidth="12.46484375" defaultRowHeight="15.75" customHeight="1"/>
  <cols>
    <col min="1" max="1" width="11.1328125" style="75" customWidth="1"/>
    <col min="2" max="2" width="17.33203125" style="75" bestFit="1" customWidth="1"/>
    <col min="3" max="3" width="18.46484375" style="75" customWidth="1"/>
    <col min="4" max="4" width="21.33203125" style="75" customWidth="1"/>
    <col min="5" max="5" width="17.6640625" style="75" customWidth="1"/>
    <col min="6" max="6" width="17.1328125" style="75" customWidth="1"/>
    <col min="7" max="7" width="19.53125" style="75" customWidth="1"/>
    <col min="8" max="8" width="20.86328125" style="75" customWidth="1"/>
    <col min="9" max="16384" width="12.46484375" style="75"/>
  </cols>
  <sheetData>
    <row r="1" spans="1:8" s="73" customFormat="1" ht="41.65">
      <c r="A1" s="72" t="s">
        <v>143</v>
      </c>
      <c r="B1" s="72" t="s">
        <v>9</v>
      </c>
      <c r="C1" s="72" t="s">
        <v>52</v>
      </c>
      <c r="D1" s="72" t="s">
        <v>144</v>
      </c>
      <c r="E1" s="72" t="s">
        <v>145</v>
      </c>
      <c r="F1" s="72" t="s">
        <v>146</v>
      </c>
      <c r="G1" s="72" t="s">
        <v>147</v>
      </c>
      <c r="H1" s="72" t="s">
        <v>148</v>
      </c>
    </row>
    <row r="2" spans="1:8" ht="13.5">
      <c r="A2" s="74">
        <v>1</v>
      </c>
      <c r="B2" s="74" t="s">
        <v>68</v>
      </c>
      <c r="C2" s="74">
        <v>67.94</v>
      </c>
      <c r="D2" s="74">
        <v>6</v>
      </c>
      <c r="E2" s="74">
        <v>1</v>
      </c>
      <c r="F2" s="74">
        <v>4</v>
      </c>
      <c r="G2" s="74">
        <v>2</v>
      </c>
      <c r="H2" s="74">
        <v>9</v>
      </c>
    </row>
    <row r="3" spans="1:8" ht="13.5">
      <c r="A3" s="76">
        <v>2</v>
      </c>
      <c r="B3" s="76" t="s">
        <v>12</v>
      </c>
      <c r="C3" s="76">
        <v>65.58</v>
      </c>
      <c r="D3" s="76">
        <v>1</v>
      </c>
      <c r="E3" s="76">
        <v>2</v>
      </c>
      <c r="F3" s="76">
        <v>8</v>
      </c>
      <c r="G3" s="76">
        <v>42</v>
      </c>
      <c r="H3" s="76">
        <v>3</v>
      </c>
    </row>
    <row r="4" spans="1:8" ht="13.5">
      <c r="A4" s="76">
        <v>3</v>
      </c>
      <c r="B4" s="76" t="s">
        <v>14</v>
      </c>
      <c r="C4" s="76">
        <v>64.19</v>
      </c>
      <c r="D4" s="76">
        <v>4</v>
      </c>
      <c r="E4" s="76">
        <v>3</v>
      </c>
      <c r="F4" s="76">
        <v>15</v>
      </c>
      <c r="G4" s="76">
        <v>22</v>
      </c>
      <c r="H4" s="76">
        <v>2</v>
      </c>
    </row>
    <row r="5" spans="1:8" ht="13.5">
      <c r="A5" s="76">
        <v>4</v>
      </c>
      <c r="B5" s="76" t="s">
        <v>13</v>
      </c>
      <c r="C5" s="76">
        <v>63.59</v>
      </c>
      <c r="D5" s="76">
        <v>3</v>
      </c>
      <c r="E5" s="76">
        <v>4</v>
      </c>
      <c r="F5" s="76">
        <v>3</v>
      </c>
      <c r="G5" s="76">
        <v>24</v>
      </c>
      <c r="H5" s="76">
        <v>10</v>
      </c>
    </row>
    <row r="6" spans="1:8" ht="13.5">
      <c r="A6" s="76">
        <v>5</v>
      </c>
      <c r="B6" s="76" t="s">
        <v>66</v>
      </c>
      <c r="C6" s="76">
        <v>62.67</v>
      </c>
      <c r="D6" s="76">
        <v>27</v>
      </c>
      <c r="E6" s="76">
        <v>14</v>
      </c>
      <c r="F6" s="76">
        <v>7</v>
      </c>
      <c r="G6" s="76">
        <v>1</v>
      </c>
      <c r="H6" s="76">
        <v>4</v>
      </c>
    </row>
    <row r="7" spans="1:8" ht="13.5">
      <c r="A7" s="76">
        <v>6</v>
      </c>
      <c r="B7" s="76" t="s">
        <v>75</v>
      </c>
      <c r="C7" s="76">
        <v>60.11</v>
      </c>
      <c r="D7" s="76">
        <v>11</v>
      </c>
      <c r="E7" s="76">
        <v>6</v>
      </c>
      <c r="F7" s="76">
        <v>27</v>
      </c>
      <c r="G7" s="76">
        <v>15</v>
      </c>
      <c r="H7" s="76">
        <v>11</v>
      </c>
    </row>
    <row r="8" spans="1:8" ht="13.5">
      <c r="A8" s="76">
        <v>7</v>
      </c>
      <c r="B8" s="76" t="s">
        <v>17</v>
      </c>
      <c r="C8" s="76">
        <v>59.51</v>
      </c>
      <c r="D8" s="76">
        <v>2</v>
      </c>
      <c r="E8" s="76">
        <v>26</v>
      </c>
      <c r="F8" s="76">
        <v>20</v>
      </c>
      <c r="G8" s="76">
        <v>28</v>
      </c>
      <c r="H8" s="76">
        <v>16</v>
      </c>
    </row>
    <row r="9" spans="1:8" ht="13.5">
      <c r="A9" s="76">
        <v>8</v>
      </c>
      <c r="B9" s="76" t="s">
        <v>57</v>
      </c>
      <c r="C9" s="76">
        <v>59.04</v>
      </c>
      <c r="D9" s="76">
        <v>22</v>
      </c>
      <c r="E9" s="76">
        <v>9</v>
      </c>
      <c r="F9" s="76">
        <v>2</v>
      </c>
      <c r="G9" s="76">
        <v>6</v>
      </c>
      <c r="H9" s="76">
        <v>23</v>
      </c>
    </row>
    <row r="10" spans="1:8" ht="13.5">
      <c r="A10" s="76">
        <v>9</v>
      </c>
      <c r="B10" s="76" t="s">
        <v>11</v>
      </c>
      <c r="C10" s="76">
        <v>57.45</v>
      </c>
      <c r="D10" s="76">
        <v>19</v>
      </c>
      <c r="E10" s="76">
        <v>13</v>
      </c>
      <c r="F10" s="76">
        <v>11</v>
      </c>
      <c r="G10" s="76">
        <v>38</v>
      </c>
      <c r="H10" s="76">
        <v>8</v>
      </c>
    </row>
    <row r="11" spans="1:8" ht="13.5">
      <c r="A11" s="76">
        <v>10</v>
      </c>
      <c r="B11" s="76" t="s">
        <v>119</v>
      </c>
      <c r="C11" s="76">
        <v>55.87</v>
      </c>
      <c r="D11" s="76">
        <v>15</v>
      </c>
      <c r="E11" s="76">
        <v>15</v>
      </c>
      <c r="F11" s="76">
        <v>21</v>
      </c>
      <c r="G11" s="76">
        <v>21</v>
      </c>
      <c r="H11" s="76">
        <v>21</v>
      </c>
    </row>
    <row r="12" spans="1:8" ht="13.5">
      <c r="A12" s="76">
        <v>11</v>
      </c>
      <c r="B12" s="76" t="s">
        <v>95</v>
      </c>
      <c r="C12" s="76">
        <v>55.6</v>
      </c>
      <c r="D12" s="76">
        <v>17</v>
      </c>
      <c r="E12" s="76">
        <v>24</v>
      </c>
      <c r="F12" s="76">
        <v>5</v>
      </c>
      <c r="G12" s="76">
        <v>47</v>
      </c>
      <c r="H12" s="76">
        <v>13</v>
      </c>
    </row>
    <row r="13" spans="1:8" ht="13.5">
      <c r="A13" s="76">
        <v>12</v>
      </c>
      <c r="B13" s="76" t="s">
        <v>93</v>
      </c>
      <c r="C13" s="76">
        <v>55.53</v>
      </c>
      <c r="D13" s="76">
        <v>12</v>
      </c>
      <c r="E13" s="76">
        <v>43</v>
      </c>
      <c r="F13" s="76">
        <v>13</v>
      </c>
      <c r="G13" s="76">
        <v>8</v>
      </c>
      <c r="H13" s="76">
        <v>29</v>
      </c>
    </row>
    <row r="14" spans="1:8" ht="13.5">
      <c r="A14" s="76">
        <v>13</v>
      </c>
      <c r="B14" s="76" t="s">
        <v>62</v>
      </c>
      <c r="C14" s="76">
        <v>55.48</v>
      </c>
      <c r="D14" s="76">
        <v>5</v>
      </c>
      <c r="E14" s="76">
        <v>25</v>
      </c>
      <c r="F14" s="76">
        <v>1</v>
      </c>
      <c r="G14" s="76">
        <v>5</v>
      </c>
      <c r="H14" s="76">
        <v>46</v>
      </c>
    </row>
    <row r="15" spans="1:8" ht="13.5">
      <c r="A15" s="76">
        <v>14</v>
      </c>
      <c r="B15" s="76" t="s">
        <v>114</v>
      </c>
      <c r="C15" s="76">
        <v>54.29</v>
      </c>
      <c r="D15" s="76">
        <v>34</v>
      </c>
      <c r="E15" s="76">
        <v>21</v>
      </c>
      <c r="F15" s="76">
        <v>48</v>
      </c>
      <c r="G15" s="76">
        <v>7</v>
      </c>
      <c r="H15" s="76">
        <v>6</v>
      </c>
    </row>
    <row r="16" spans="1:8" ht="13.5">
      <c r="A16" s="76">
        <v>15</v>
      </c>
      <c r="B16" s="76" t="s">
        <v>16</v>
      </c>
      <c r="C16" s="76">
        <v>54.19</v>
      </c>
      <c r="D16" s="76">
        <v>30</v>
      </c>
      <c r="E16" s="76">
        <v>11</v>
      </c>
      <c r="F16" s="76">
        <v>24</v>
      </c>
      <c r="G16" s="76">
        <v>3</v>
      </c>
      <c r="H16" s="76">
        <v>31</v>
      </c>
    </row>
    <row r="17" spans="1:8" ht="13.5">
      <c r="A17" s="76">
        <v>16</v>
      </c>
      <c r="B17" s="76" t="s">
        <v>15</v>
      </c>
      <c r="C17" s="76">
        <v>53.87</v>
      </c>
      <c r="D17" s="76">
        <v>29</v>
      </c>
      <c r="E17" s="76">
        <v>20</v>
      </c>
      <c r="F17" s="76">
        <v>19</v>
      </c>
      <c r="G17" s="76">
        <v>17</v>
      </c>
      <c r="H17" s="76">
        <v>22</v>
      </c>
    </row>
    <row r="18" spans="1:8" ht="13.5">
      <c r="A18" s="76">
        <v>17</v>
      </c>
      <c r="B18" s="76" t="s">
        <v>18</v>
      </c>
      <c r="C18" s="76">
        <v>53.28</v>
      </c>
      <c r="D18" s="76">
        <v>8</v>
      </c>
      <c r="E18" s="76">
        <v>41</v>
      </c>
      <c r="F18" s="76">
        <v>14</v>
      </c>
      <c r="G18" s="76">
        <v>29</v>
      </c>
      <c r="H18" s="76">
        <v>24</v>
      </c>
    </row>
    <row r="19" spans="1:8" ht="13.5">
      <c r="A19" s="76">
        <v>18</v>
      </c>
      <c r="B19" s="76" t="s">
        <v>107</v>
      </c>
      <c r="C19" s="76">
        <v>53.25</v>
      </c>
      <c r="D19" s="76">
        <v>43</v>
      </c>
      <c r="E19" s="76">
        <v>19</v>
      </c>
      <c r="F19" s="76">
        <v>30</v>
      </c>
      <c r="G19" s="76">
        <v>11</v>
      </c>
      <c r="H19" s="76">
        <v>7</v>
      </c>
    </row>
    <row r="20" spans="1:8" ht="13.5">
      <c r="A20" s="76">
        <v>19</v>
      </c>
      <c r="B20" s="76" t="s">
        <v>83</v>
      </c>
      <c r="C20" s="76">
        <v>52.95</v>
      </c>
      <c r="D20" s="76">
        <v>25</v>
      </c>
      <c r="E20" s="76">
        <v>8</v>
      </c>
      <c r="F20" s="76">
        <v>16</v>
      </c>
      <c r="G20" s="76">
        <v>33</v>
      </c>
      <c r="H20" s="76">
        <v>20</v>
      </c>
    </row>
    <row r="21" spans="1:8" ht="13.5">
      <c r="A21" s="76">
        <v>20</v>
      </c>
      <c r="B21" s="76" t="s">
        <v>19</v>
      </c>
      <c r="C21" s="76">
        <v>52.84</v>
      </c>
      <c r="D21" s="76">
        <v>7</v>
      </c>
      <c r="E21" s="76">
        <v>28</v>
      </c>
      <c r="F21" s="76">
        <v>40</v>
      </c>
      <c r="G21" s="76">
        <v>41</v>
      </c>
      <c r="H21" s="76">
        <v>12</v>
      </c>
    </row>
    <row r="22" spans="1:8" ht="13.5">
      <c r="A22" s="76">
        <v>21</v>
      </c>
      <c r="B22" s="76" t="s">
        <v>105</v>
      </c>
      <c r="C22" s="76">
        <v>52.72</v>
      </c>
      <c r="D22" s="76">
        <v>10</v>
      </c>
      <c r="E22" s="76">
        <v>35</v>
      </c>
      <c r="F22" s="76">
        <v>32</v>
      </c>
      <c r="G22" s="76">
        <v>16</v>
      </c>
      <c r="H22" s="76">
        <v>30</v>
      </c>
    </row>
    <row r="23" spans="1:8" ht="13.5">
      <c r="A23" s="76">
        <v>22</v>
      </c>
      <c r="B23" s="76" t="s">
        <v>101</v>
      </c>
      <c r="C23" s="76">
        <v>51.65</v>
      </c>
      <c r="D23" s="76">
        <v>46</v>
      </c>
      <c r="E23" s="76">
        <v>18</v>
      </c>
      <c r="F23" s="76">
        <v>28</v>
      </c>
      <c r="G23" s="76">
        <v>9</v>
      </c>
      <c r="H23" s="76">
        <v>15</v>
      </c>
    </row>
    <row r="24" spans="1:8" ht="13.5">
      <c r="A24" s="76">
        <v>23</v>
      </c>
      <c r="B24" s="76" t="s">
        <v>22</v>
      </c>
      <c r="C24" s="76">
        <v>51.5</v>
      </c>
      <c r="D24" s="76">
        <v>14</v>
      </c>
      <c r="E24" s="76">
        <v>29</v>
      </c>
      <c r="F24" s="76">
        <v>31</v>
      </c>
      <c r="G24" s="76">
        <v>4</v>
      </c>
      <c r="H24" s="76">
        <v>40</v>
      </c>
    </row>
    <row r="25" spans="1:8" ht="13.5">
      <c r="A25" s="76">
        <v>24</v>
      </c>
      <c r="B25" s="76" t="s">
        <v>21</v>
      </c>
      <c r="C25" s="76">
        <v>51.27</v>
      </c>
      <c r="D25" s="76">
        <v>20</v>
      </c>
      <c r="E25" s="76">
        <v>33</v>
      </c>
      <c r="F25" s="76">
        <v>6</v>
      </c>
      <c r="G25" s="76">
        <v>30</v>
      </c>
      <c r="H25" s="76">
        <v>26</v>
      </c>
    </row>
    <row r="26" spans="1:8" ht="13.5">
      <c r="A26" s="76">
        <v>25</v>
      </c>
      <c r="B26" s="76" t="s">
        <v>134</v>
      </c>
      <c r="C26" s="76">
        <v>51.21</v>
      </c>
      <c r="D26" s="76">
        <v>49</v>
      </c>
      <c r="E26" s="76">
        <v>23</v>
      </c>
      <c r="F26" s="76">
        <v>36</v>
      </c>
      <c r="G26" s="76">
        <v>13</v>
      </c>
      <c r="H26" s="76">
        <v>1</v>
      </c>
    </row>
    <row r="27" spans="1:8" ht="13.5">
      <c r="A27" s="76">
        <v>26</v>
      </c>
      <c r="B27" s="76" t="s">
        <v>79</v>
      </c>
      <c r="C27" s="76">
        <v>50.79</v>
      </c>
      <c r="D27" s="76">
        <v>38</v>
      </c>
      <c r="E27" s="76">
        <v>40</v>
      </c>
      <c r="F27" s="76">
        <v>35</v>
      </c>
      <c r="G27" s="76">
        <v>10</v>
      </c>
      <c r="H27" s="76">
        <v>17</v>
      </c>
    </row>
    <row r="28" spans="1:8" ht="13.5">
      <c r="A28" s="76">
        <v>27</v>
      </c>
      <c r="B28" s="76" t="s">
        <v>73</v>
      </c>
      <c r="C28" s="76">
        <v>50.43</v>
      </c>
      <c r="D28" s="76">
        <v>9</v>
      </c>
      <c r="E28" s="76">
        <v>10</v>
      </c>
      <c r="F28" s="76">
        <v>10</v>
      </c>
      <c r="G28" s="76">
        <v>50</v>
      </c>
      <c r="H28" s="76">
        <v>35</v>
      </c>
    </row>
    <row r="29" spans="1:8" ht="13.5">
      <c r="A29" s="76">
        <v>28</v>
      </c>
      <c r="B29" s="76" t="s">
        <v>77</v>
      </c>
      <c r="C29" s="76">
        <v>50.03</v>
      </c>
      <c r="D29" s="76">
        <v>23</v>
      </c>
      <c r="E29" s="76">
        <v>22</v>
      </c>
      <c r="F29" s="76">
        <v>25</v>
      </c>
      <c r="G29" s="76">
        <v>26</v>
      </c>
      <c r="H29" s="76">
        <v>27</v>
      </c>
    </row>
    <row r="30" spans="1:8" ht="13.5">
      <c r="A30" s="76">
        <v>29</v>
      </c>
      <c r="B30" s="76" t="s">
        <v>60</v>
      </c>
      <c r="C30" s="76">
        <v>49.19</v>
      </c>
      <c r="D30" s="76">
        <v>13</v>
      </c>
      <c r="E30" s="76">
        <v>5</v>
      </c>
      <c r="F30" s="76">
        <v>18</v>
      </c>
      <c r="G30" s="76">
        <v>48</v>
      </c>
      <c r="H30" s="76">
        <v>39</v>
      </c>
    </row>
    <row r="31" spans="1:8" ht="13.5">
      <c r="A31" s="76">
        <v>30</v>
      </c>
      <c r="B31" s="76" t="s">
        <v>139</v>
      </c>
      <c r="C31" s="76">
        <v>49.07</v>
      </c>
      <c r="D31" s="76">
        <v>24</v>
      </c>
      <c r="E31" s="76">
        <v>39</v>
      </c>
      <c r="F31" s="76">
        <v>22</v>
      </c>
      <c r="G31" s="76">
        <v>45</v>
      </c>
      <c r="H31" s="76">
        <v>19</v>
      </c>
    </row>
    <row r="32" spans="1:8" ht="13.5">
      <c r="A32" s="76">
        <v>31</v>
      </c>
      <c r="B32" s="76" t="s">
        <v>103</v>
      </c>
      <c r="C32" s="76">
        <v>48.31</v>
      </c>
      <c r="D32" s="76">
        <v>21</v>
      </c>
      <c r="E32" s="76">
        <v>46</v>
      </c>
      <c r="F32" s="76">
        <v>23</v>
      </c>
      <c r="G32" s="76">
        <v>23</v>
      </c>
      <c r="H32" s="76">
        <v>38</v>
      </c>
    </row>
    <row r="33" spans="1:8" ht="13.5">
      <c r="A33" s="76">
        <v>32</v>
      </c>
      <c r="B33" s="76" t="s">
        <v>99</v>
      </c>
      <c r="C33" s="76">
        <v>48.04</v>
      </c>
      <c r="D33" s="76">
        <v>31</v>
      </c>
      <c r="E33" s="76">
        <v>30</v>
      </c>
      <c r="F33" s="76">
        <v>17</v>
      </c>
      <c r="G33" s="76">
        <v>31</v>
      </c>
      <c r="H33" s="76">
        <v>25</v>
      </c>
    </row>
    <row r="34" spans="1:8" ht="13.5">
      <c r="A34" s="76">
        <v>33</v>
      </c>
      <c r="B34" s="76" t="s">
        <v>117</v>
      </c>
      <c r="C34" s="76">
        <v>47.98</v>
      </c>
      <c r="D34" s="76">
        <v>41</v>
      </c>
      <c r="E34" s="76">
        <v>37</v>
      </c>
      <c r="F34" s="76">
        <v>49</v>
      </c>
      <c r="G34" s="76">
        <v>14</v>
      </c>
      <c r="H34" s="76">
        <v>14</v>
      </c>
    </row>
    <row r="35" spans="1:8" ht="13.5">
      <c r="A35" s="76">
        <v>34</v>
      </c>
      <c r="B35" s="76" t="s">
        <v>88</v>
      </c>
      <c r="C35" s="76">
        <v>47.55</v>
      </c>
      <c r="D35" s="76">
        <v>18</v>
      </c>
      <c r="E35" s="76">
        <v>12</v>
      </c>
      <c r="F35" s="76">
        <v>9</v>
      </c>
      <c r="G35" s="76">
        <v>39</v>
      </c>
      <c r="H35" s="76">
        <v>42</v>
      </c>
    </row>
    <row r="36" spans="1:8" ht="13.5">
      <c r="A36" s="76">
        <v>35</v>
      </c>
      <c r="B36" s="76" t="s">
        <v>81</v>
      </c>
      <c r="C36" s="76">
        <v>45.79</v>
      </c>
      <c r="D36" s="76">
        <v>28</v>
      </c>
      <c r="E36" s="76">
        <v>17</v>
      </c>
      <c r="F36" s="76">
        <v>12</v>
      </c>
      <c r="G36" s="76">
        <v>34</v>
      </c>
      <c r="H36" s="76">
        <v>45</v>
      </c>
    </row>
    <row r="37" spans="1:8" ht="13.5">
      <c r="A37" s="76">
        <v>36</v>
      </c>
      <c r="B37" s="76" t="s">
        <v>112</v>
      </c>
      <c r="C37" s="76">
        <v>45.22</v>
      </c>
      <c r="D37" s="76">
        <v>50</v>
      </c>
      <c r="E37" s="76">
        <v>50</v>
      </c>
      <c r="F37" s="76">
        <v>42</v>
      </c>
      <c r="G37" s="76">
        <v>19</v>
      </c>
      <c r="H37" s="76">
        <v>5</v>
      </c>
    </row>
    <row r="38" spans="1:8" ht="13.5">
      <c r="A38" s="76">
        <v>37</v>
      </c>
      <c r="B38" s="76" t="s">
        <v>110</v>
      </c>
      <c r="C38" s="76">
        <v>45.06</v>
      </c>
      <c r="D38" s="76">
        <v>48</v>
      </c>
      <c r="E38" s="76">
        <v>45</v>
      </c>
      <c r="F38" s="76">
        <v>47</v>
      </c>
      <c r="G38" s="76">
        <v>20</v>
      </c>
      <c r="H38" s="76">
        <v>18</v>
      </c>
    </row>
    <row r="39" spans="1:8" ht="13.5">
      <c r="A39" s="76">
        <v>38</v>
      </c>
      <c r="B39" s="76" t="s">
        <v>86</v>
      </c>
      <c r="C39" s="76">
        <v>44.37</v>
      </c>
      <c r="D39" s="76">
        <v>37</v>
      </c>
      <c r="E39" s="76">
        <v>7</v>
      </c>
      <c r="F39" s="76">
        <v>29</v>
      </c>
      <c r="G39" s="76">
        <v>36</v>
      </c>
      <c r="H39" s="76">
        <v>32</v>
      </c>
    </row>
    <row r="40" spans="1:8" ht="13.5">
      <c r="A40" s="76">
        <v>39</v>
      </c>
      <c r="B40" s="76" t="s">
        <v>90</v>
      </c>
      <c r="C40" s="76">
        <v>43.84</v>
      </c>
      <c r="D40" s="76">
        <v>26</v>
      </c>
      <c r="E40" s="76">
        <v>27</v>
      </c>
      <c r="F40" s="76">
        <v>43</v>
      </c>
      <c r="G40" s="76">
        <v>27</v>
      </c>
      <c r="H40" s="76">
        <v>41</v>
      </c>
    </row>
    <row r="41" spans="1:8" ht="13.5">
      <c r="A41" s="76">
        <v>40</v>
      </c>
      <c r="B41" s="76" t="s">
        <v>124</v>
      </c>
      <c r="C41" s="76">
        <v>43.46</v>
      </c>
      <c r="D41" s="76">
        <v>47</v>
      </c>
      <c r="E41" s="76">
        <v>31</v>
      </c>
      <c r="F41" s="76">
        <v>37</v>
      </c>
      <c r="G41" s="76">
        <v>12</v>
      </c>
      <c r="H41" s="76">
        <v>37</v>
      </c>
    </row>
    <row r="42" spans="1:8" ht="13.5">
      <c r="A42" s="76">
        <v>41</v>
      </c>
      <c r="B42" s="76" t="s">
        <v>20</v>
      </c>
      <c r="C42" s="76">
        <v>43.32</v>
      </c>
      <c r="D42" s="76">
        <v>42</v>
      </c>
      <c r="E42" s="76">
        <v>32</v>
      </c>
      <c r="F42" s="76">
        <v>46</v>
      </c>
      <c r="G42" s="76">
        <v>18</v>
      </c>
      <c r="H42" s="76">
        <v>33</v>
      </c>
    </row>
    <row r="43" spans="1:8" ht="13.5">
      <c r="A43" s="76">
        <v>42</v>
      </c>
      <c r="B43" s="76" t="s">
        <v>24</v>
      </c>
      <c r="C43" s="76">
        <v>42.92</v>
      </c>
      <c r="D43" s="76">
        <v>33</v>
      </c>
      <c r="E43" s="76">
        <v>48</v>
      </c>
      <c r="F43" s="76">
        <v>39</v>
      </c>
      <c r="G43" s="76">
        <v>25</v>
      </c>
      <c r="H43" s="76">
        <v>36</v>
      </c>
    </row>
    <row r="44" spans="1:8" ht="13.5">
      <c r="A44" s="76">
        <v>43</v>
      </c>
      <c r="B44" s="76" t="s">
        <v>71</v>
      </c>
      <c r="C44" s="76">
        <v>42</v>
      </c>
      <c r="D44" s="76">
        <v>44</v>
      </c>
      <c r="E44" s="76">
        <v>16</v>
      </c>
      <c r="F44" s="76">
        <v>34</v>
      </c>
      <c r="G44" s="76">
        <v>43</v>
      </c>
      <c r="H44" s="76">
        <v>28</v>
      </c>
    </row>
    <row r="45" spans="1:8" ht="13.5">
      <c r="A45" s="76">
        <v>44</v>
      </c>
      <c r="B45" s="76" t="s">
        <v>141</v>
      </c>
      <c r="C45" s="76">
        <v>41.85</v>
      </c>
      <c r="D45" s="76">
        <v>32</v>
      </c>
      <c r="E45" s="76">
        <v>42</v>
      </c>
      <c r="F45" s="76">
        <v>26</v>
      </c>
      <c r="G45" s="76">
        <v>37</v>
      </c>
      <c r="H45" s="76">
        <v>43</v>
      </c>
    </row>
    <row r="46" spans="1:8" ht="13.5">
      <c r="A46" s="76">
        <v>45</v>
      </c>
      <c r="B46" s="76" t="s">
        <v>136</v>
      </c>
      <c r="C46" s="76">
        <v>39.92</v>
      </c>
      <c r="D46" s="76">
        <v>36</v>
      </c>
      <c r="E46" s="76">
        <v>34</v>
      </c>
      <c r="F46" s="76">
        <v>38</v>
      </c>
      <c r="G46" s="76">
        <v>35</v>
      </c>
      <c r="H46" s="76">
        <v>44</v>
      </c>
    </row>
    <row r="47" spans="1:8" ht="13.5">
      <c r="A47" s="76">
        <v>46</v>
      </c>
      <c r="B47" s="76" t="s">
        <v>23</v>
      </c>
      <c r="C47" s="76">
        <v>37.659999999999997</v>
      </c>
      <c r="D47" s="76">
        <v>35</v>
      </c>
      <c r="E47" s="76">
        <v>44</v>
      </c>
      <c r="F47" s="76">
        <v>41</v>
      </c>
      <c r="G47" s="76">
        <v>43</v>
      </c>
      <c r="H47" s="76">
        <v>47</v>
      </c>
    </row>
    <row r="48" spans="1:8" ht="13.5">
      <c r="A48" s="76">
        <v>47</v>
      </c>
      <c r="B48" s="76" t="s">
        <v>130</v>
      </c>
      <c r="C48" s="76">
        <v>36.85</v>
      </c>
      <c r="D48" s="76">
        <v>45</v>
      </c>
      <c r="E48" s="76">
        <v>36</v>
      </c>
      <c r="F48" s="76">
        <v>45</v>
      </c>
      <c r="G48" s="76">
        <v>46</v>
      </c>
      <c r="H48" s="76">
        <v>34</v>
      </c>
    </row>
    <row r="49" spans="1:8" ht="13.5">
      <c r="A49" s="76">
        <v>48</v>
      </c>
      <c r="B49" s="76" t="s">
        <v>132</v>
      </c>
      <c r="C49" s="76">
        <v>36.409999999999997</v>
      </c>
      <c r="D49" s="76">
        <v>39</v>
      </c>
      <c r="E49" s="76">
        <v>38</v>
      </c>
      <c r="F49" s="76">
        <v>44</v>
      </c>
      <c r="G49" s="76">
        <v>32</v>
      </c>
      <c r="H49" s="76">
        <v>48</v>
      </c>
    </row>
    <row r="50" spans="1:8" ht="13.5">
      <c r="A50" s="76">
        <v>49</v>
      </c>
      <c r="B50" s="76" t="s">
        <v>142</v>
      </c>
      <c r="C50" s="76">
        <v>35.130000000000003</v>
      </c>
      <c r="D50" s="76">
        <v>16</v>
      </c>
      <c r="E50" s="76">
        <v>47</v>
      </c>
      <c r="F50" s="76">
        <v>50</v>
      </c>
      <c r="G50" s="76">
        <v>49</v>
      </c>
      <c r="H50" s="76">
        <v>50</v>
      </c>
    </row>
    <row r="51" spans="1:8" ht="13.5">
      <c r="A51" s="77">
        <v>50</v>
      </c>
      <c r="B51" s="77" t="s">
        <v>128</v>
      </c>
      <c r="C51" s="77">
        <v>33.270000000000003</v>
      </c>
      <c r="D51" s="77">
        <v>40</v>
      </c>
      <c r="E51" s="77">
        <v>49</v>
      </c>
      <c r="F51" s="77">
        <v>33</v>
      </c>
      <c r="G51" s="77">
        <v>40</v>
      </c>
      <c r="H51" s="77">
        <v>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Dashboard">
                <anchor moveWithCells="1">
                  <from>
                    <xdr:col>9</xdr:col>
                    <xdr:colOff>0</xdr:colOff>
                    <xdr:row>1</xdr:row>
                    <xdr:rowOff>0</xdr:rowOff>
                  </from>
                  <to>
                    <xdr:col>10</xdr:col>
                    <xdr:colOff>709613</xdr:colOff>
                    <xdr:row>4</xdr:row>
                    <xdr:rowOff>152400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Q52"/>
  <sheetViews>
    <sheetView zoomScale="85" zoomScaleNormal="85" workbookViewId="0">
      <selection activeCell="L24" sqref="L24"/>
    </sheetView>
  </sheetViews>
  <sheetFormatPr defaultColWidth="12.46484375" defaultRowHeight="15.75" customHeight="1"/>
  <cols>
    <col min="1" max="1" width="19.53125" bestFit="1" customWidth="1"/>
    <col min="2" max="2" width="14.46484375" style="71" bestFit="1" customWidth="1"/>
    <col min="3" max="3" width="18.33203125" style="71" customWidth="1"/>
    <col min="4" max="4" width="18" style="71" customWidth="1"/>
    <col min="5" max="5" width="15.33203125" style="71" customWidth="1"/>
    <col min="6" max="6" width="15" style="71" customWidth="1"/>
    <col min="7" max="7" width="16.46484375" style="71" customWidth="1"/>
    <col min="8" max="8" width="17" style="71" customWidth="1"/>
    <col min="9" max="9" width="14.33203125" style="71" customWidth="1"/>
    <col min="10" max="10" width="15" style="71" customWidth="1"/>
    <col min="12" max="12" width="14.33203125" bestFit="1" customWidth="1"/>
    <col min="13" max="13" width="13.46484375" bestFit="1" customWidth="1"/>
    <col min="14" max="14" width="17.33203125" bestFit="1" customWidth="1"/>
    <col min="15" max="15" width="7.46484375" bestFit="1" customWidth="1"/>
    <col min="16" max="16" width="13.46484375" bestFit="1" customWidth="1"/>
    <col min="17" max="17" width="27.1328125" bestFit="1" customWidth="1"/>
    <col min="18" max="18" width="18.46484375" customWidth="1"/>
    <col min="19" max="19" width="10.6640625" bestFit="1" customWidth="1"/>
    <col min="20" max="20" width="9" bestFit="1" customWidth="1"/>
    <col min="21" max="21" width="17.46484375" bestFit="1" customWidth="1"/>
    <col min="22" max="22" width="6.46484375" bestFit="1" customWidth="1"/>
    <col min="23" max="23" width="7.46484375" bestFit="1" customWidth="1"/>
    <col min="24" max="24" width="6.6640625" bestFit="1" customWidth="1"/>
    <col min="25" max="26" width="6.1328125" bestFit="1" customWidth="1"/>
    <col min="27" max="27" width="6.6640625" bestFit="1" customWidth="1"/>
    <col min="28" max="28" width="5.1328125" bestFit="1" customWidth="1"/>
    <col min="29" max="29" width="7.46484375" bestFit="1" customWidth="1"/>
    <col min="30" max="31" width="8.6640625" bestFit="1" customWidth="1"/>
    <col min="32" max="32" width="6.1328125" bestFit="1" customWidth="1"/>
    <col min="33" max="33" width="8.46484375" bestFit="1" customWidth="1"/>
    <col min="34" max="34" width="13.6640625" bestFit="1" customWidth="1"/>
    <col min="35" max="35" width="8.46484375" bestFit="1" customWidth="1"/>
    <col min="36" max="36" width="9.46484375" bestFit="1" customWidth="1"/>
    <col min="37" max="37" width="10.33203125" bestFit="1" customWidth="1"/>
    <col min="38" max="38" width="8" bestFit="1" customWidth="1"/>
    <col min="39" max="39" width="8.1328125" bestFit="1" customWidth="1"/>
    <col min="40" max="40" width="8.6640625" bestFit="1" customWidth="1"/>
    <col min="41" max="41" width="7.46484375" bestFit="1" customWidth="1"/>
    <col min="42" max="42" width="14.33203125" bestFit="1" customWidth="1"/>
    <col min="43" max="43" width="11" bestFit="1" customWidth="1"/>
    <col min="44" max="44" width="11.33203125" bestFit="1" customWidth="1"/>
    <col min="45" max="45" width="9.46484375" bestFit="1" customWidth="1"/>
    <col min="46" max="46" width="12.6640625" bestFit="1" customWidth="1"/>
    <col min="47" max="47" width="11.6640625" bestFit="1" customWidth="1"/>
    <col min="48" max="48" width="5.1328125" bestFit="1" customWidth="1"/>
    <col min="49" max="49" width="9.46484375" bestFit="1" customWidth="1"/>
    <col min="50" max="50" width="7.1328125" bestFit="1" customWidth="1"/>
    <col min="51" max="52" width="11.6640625" bestFit="1" customWidth="1"/>
    <col min="53" max="53" width="13.33203125" bestFit="1" customWidth="1"/>
    <col min="54" max="54" width="12.33203125" bestFit="1" customWidth="1"/>
    <col min="55" max="55" width="10.33203125" bestFit="1" customWidth="1"/>
    <col min="56" max="57" width="6.1328125" bestFit="1" customWidth="1"/>
    <col min="58" max="58" width="8" bestFit="1" customWidth="1"/>
    <col min="59" max="59" width="7.1328125" bestFit="1" customWidth="1"/>
    <col min="60" max="60" width="10.6640625" bestFit="1" customWidth="1"/>
    <col min="61" max="61" width="12.1328125" bestFit="1" customWidth="1"/>
    <col min="62" max="62" width="9.6640625" bestFit="1" customWidth="1"/>
    <col min="63" max="63" width="8.6640625" bestFit="1" customWidth="1"/>
    <col min="64" max="64" width="10.46484375" bestFit="1" customWidth="1"/>
  </cols>
  <sheetData>
    <row r="1" spans="1:17" s="44" customFormat="1" ht="54">
      <c r="A1" s="60" t="s">
        <v>149</v>
      </c>
      <c r="B1" s="61" t="s">
        <v>150</v>
      </c>
      <c r="C1" s="61" t="s">
        <v>151</v>
      </c>
      <c r="D1" s="61" t="s">
        <v>152</v>
      </c>
      <c r="E1" s="61" t="s">
        <v>153</v>
      </c>
      <c r="F1" s="61" t="s">
        <v>154</v>
      </c>
      <c r="G1" s="61" t="s">
        <v>155</v>
      </c>
      <c r="H1" s="61" t="s">
        <v>156</v>
      </c>
      <c r="I1" s="61" t="s">
        <v>157</v>
      </c>
      <c r="J1" s="61" t="s">
        <v>158</v>
      </c>
    </row>
    <row r="2" spans="1:17" ht="15.75" customHeight="1">
      <c r="A2" s="1" t="s">
        <v>13</v>
      </c>
      <c r="B2" s="62">
        <v>2837</v>
      </c>
      <c r="C2" s="63">
        <v>887</v>
      </c>
      <c r="D2" s="63">
        <v>145.9</v>
      </c>
      <c r="E2" s="63">
        <v>218.8</v>
      </c>
      <c r="F2" s="62">
        <v>1566</v>
      </c>
      <c r="G2" s="62">
        <v>1679</v>
      </c>
      <c r="H2" s="62">
        <v>2086</v>
      </c>
      <c r="I2" s="62">
        <v>2564</v>
      </c>
      <c r="J2" s="62">
        <v>2885</v>
      </c>
      <c r="L2" s="7" t="s">
        <v>159</v>
      </c>
      <c r="M2" s="6" t="s">
        <v>160</v>
      </c>
      <c r="N2" s="10" t="s">
        <v>161</v>
      </c>
      <c r="P2" s="7" t="s">
        <v>159</v>
      </c>
      <c r="Q2" s="32" t="s">
        <v>162</v>
      </c>
    </row>
    <row r="3" spans="1:17" ht="15.75" customHeight="1">
      <c r="A3" s="2" t="s">
        <v>21</v>
      </c>
      <c r="B3" s="64">
        <v>2739</v>
      </c>
      <c r="C3" s="65">
        <v>847</v>
      </c>
      <c r="D3" s="65">
        <v>123.3</v>
      </c>
      <c r="E3" s="65">
        <v>168</v>
      </c>
      <c r="F3" s="64">
        <v>1130</v>
      </c>
      <c r="G3" s="64">
        <v>1219</v>
      </c>
      <c r="H3" s="64">
        <v>1465</v>
      </c>
      <c r="I3" s="64">
        <v>1837</v>
      </c>
      <c r="J3" s="64">
        <v>2036</v>
      </c>
      <c r="L3" s="8" t="s">
        <v>17</v>
      </c>
      <c r="M3" s="6">
        <v>117.2</v>
      </c>
      <c r="N3" s="10">
        <v>112.3</v>
      </c>
      <c r="P3" s="34" t="s">
        <v>105</v>
      </c>
      <c r="Q3" s="33">
        <v>1287</v>
      </c>
    </row>
    <row r="4" spans="1:17" ht="15.75" customHeight="1">
      <c r="A4" s="3" t="s">
        <v>75</v>
      </c>
      <c r="B4" s="66">
        <v>2668</v>
      </c>
      <c r="C4" s="67">
        <v>845</v>
      </c>
      <c r="D4" s="67">
        <v>186.9</v>
      </c>
      <c r="E4" s="67">
        <v>310</v>
      </c>
      <c r="F4" s="66">
        <v>1630</v>
      </c>
      <c r="G4" s="66">
        <v>1684</v>
      </c>
      <c r="H4" s="66">
        <v>2201</v>
      </c>
      <c r="I4" s="66">
        <v>2941</v>
      </c>
      <c r="J4" s="66">
        <v>3417</v>
      </c>
      <c r="L4" s="59" t="s">
        <v>19</v>
      </c>
      <c r="M4" s="26">
        <v>97.4</v>
      </c>
      <c r="N4" s="27">
        <v>100.8</v>
      </c>
    </row>
    <row r="5" spans="1:17" ht="15.75" customHeight="1">
      <c r="A5" s="2" t="s">
        <v>110</v>
      </c>
      <c r="B5" s="64">
        <v>2587</v>
      </c>
      <c r="C5" s="65">
        <v>853</v>
      </c>
      <c r="D5" s="65">
        <v>144.80000000000001</v>
      </c>
      <c r="E5" s="65">
        <v>208.7</v>
      </c>
      <c r="F5" s="64">
        <v>1429</v>
      </c>
      <c r="G5" s="64">
        <v>1565</v>
      </c>
      <c r="H5" s="64">
        <v>1955</v>
      </c>
      <c r="I5" s="64">
        <v>2626</v>
      </c>
      <c r="J5" s="64">
        <v>3034</v>
      </c>
      <c r="L5" s="9" t="s">
        <v>23</v>
      </c>
      <c r="M5" s="26">
        <v>108.1</v>
      </c>
      <c r="N5" s="27">
        <v>102.8</v>
      </c>
    </row>
    <row r="6" spans="1:17" ht="15.75" customHeight="1">
      <c r="A6" s="3" t="s">
        <v>122</v>
      </c>
      <c r="B6" s="66">
        <v>2474</v>
      </c>
      <c r="C6" s="67">
        <v>747</v>
      </c>
      <c r="D6" s="67">
        <v>141.9</v>
      </c>
      <c r="E6" s="67">
        <v>222.4</v>
      </c>
      <c r="F6" s="66">
        <v>2012</v>
      </c>
      <c r="G6" s="66">
        <v>2056</v>
      </c>
      <c r="H6" s="66">
        <v>2314</v>
      </c>
      <c r="I6" s="66">
        <v>2893</v>
      </c>
      <c r="J6" s="66">
        <v>3413</v>
      </c>
      <c r="L6" s="9" t="s">
        <v>24</v>
      </c>
      <c r="M6" s="26">
        <v>79.2</v>
      </c>
      <c r="N6" s="27">
        <v>91.3</v>
      </c>
    </row>
    <row r="7" spans="1:17" ht="15.75" customHeight="1">
      <c r="A7" s="2" t="s">
        <v>18</v>
      </c>
      <c r="B7" s="64">
        <v>2337</v>
      </c>
      <c r="C7" s="65">
        <v>865</v>
      </c>
      <c r="D7" s="65">
        <v>114.6</v>
      </c>
      <c r="E7" s="65">
        <v>136.9</v>
      </c>
      <c r="F7" s="64">
        <v>1466</v>
      </c>
      <c r="G7" s="64">
        <v>1627</v>
      </c>
      <c r="H7" s="64">
        <v>1973</v>
      </c>
      <c r="I7" s="64">
        <v>2476</v>
      </c>
      <c r="J7" s="64">
        <v>2797</v>
      </c>
      <c r="L7" s="9" t="s">
        <v>14</v>
      </c>
      <c r="M7" s="26">
        <v>128.69999999999999</v>
      </c>
      <c r="N7" s="27">
        <v>112.1</v>
      </c>
    </row>
    <row r="8" spans="1:17" ht="15.75" customHeight="1">
      <c r="A8" s="3" t="s">
        <v>68</v>
      </c>
      <c r="B8" s="66">
        <v>2152</v>
      </c>
      <c r="C8" s="67">
        <v>937</v>
      </c>
      <c r="D8" s="67">
        <v>114.4</v>
      </c>
      <c r="E8" s="67">
        <v>129.69999999999999</v>
      </c>
      <c r="F8" s="66">
        <v>1045</v>
      </c>
      <c r="G8" s="66">
        <v>1094</v>
      </c>
      <c r="H8" s="66">
        <v>1350</v>
      </c>
      <c r="I8" s="66">
        <v>1744</v>
      </c>
      <c r="J8" s="66">
        <v>1894</v>
      </c>
      <c r="L8" s="9" t="s">
        <v>15</v>
      </c>
      <c r="M8" s="26">
        <v>135.80000000000001</v>
      </c>
      <c r="N8" s="27">
        <v>115.3</v>
      </c>
    </row>
    <row r="9" spans="1:17" ht="15.75" customHeight="1">
      <c r="A9" s="2" t="s">
        <v>11</v>
      </c>
      <c r="B9" s="64">
        <v>2129</v>
      </c>
      <c r="C9" s="65">
        <v>925</v>
      </c>
      <c r="D9" s="65">
        <v>112.2</v>
      </c>
      <c r="E9" s="65">
        <v>113.4</v>
      </c>
      <c r="F9" s="64">
        <v>1270</v>
      </c>
      <c r="G9" s="64">
        <v>1344</v>
      </c>
      <c r="H9" s="64">
        <v>1656</v>
      </c>
      <c r="I9" s="64">
        <v>2023</v>
      </c>
      <c r="J9" s="64">
        <v>2441</v>
      </c>
      <c r="L9" s="9" t="s">
        <v>13</v>
      </c>
      <c r="M9" s="26">
        <v>218.8</v>
      </c>
      <c r="N9" s="27">
        <v>145.9</v>
      </c>
    </row>
    <row r="10" spans="1:17" ht="15.75" customHeight="1">
      <c r="A10" s="3" t="s">
        <v>12</v>
      </c>
      <c r="B10" s="66">
        <v>2112</v>
      </c>
      <c r="C10" s="67">
        <v>883</v>
      </c>
      <c r="D10" s="67">
        <v>112.6</v>
      </c>
      <c r="E10" s="67">
        <v>117.5</v>
      </c>
      <c r="F10" s="66">
        <v>1131</v>
      </c>
      <c r="G10" s="66">
        <v>1212</v>
      </c>
      <c r="H10" s="66">
        <v>1575</v>
      </c>
      <c r="I10" s="66">
        <v>2041</v>
      </c>
      <c r="J10" s="66">
        <v>2209</v>
      </c>
      <c r="L10" s="9" t="s">
        <v>12</v>
      </c>
      <c r="M10" s="26">
        <v>117.5</v>
      </c>
      <c r="N10" s="27">
        <v>112.6</v>
      </c>
    </row>
    <row r="11" spans="1:17" ht="15.75" customHeight="1">
      <c r="A11" s="2" t="s">
        <v>17</v>
      </c>
      <c r="B11" s="64">
        <v>2044</v>
      </c>
      <c r="C11" s="65">
        <v>891</v>
      </c>
      <c r="D11" s="65">
        <v>112.3</v>
      </c>
      <c r="E11" s="65">
        <v>117.2</v>
      </c>
      <c r="F11" s="64">
        <v>1208</v>
      </c>
      <c r="G11" s="64">
        <v>1392</v>
      </c>
      <c r="H11" s="64">
        <v>1732</v>
      </c>
      <c r="I11" s="64">
        <v>2147</v>
      </c>
      <c r="J11" s="64">
        <v>2551</v>
      </c>
      <c r="L11" s="9" t="s">
        <v>18</v>
      </c>
      <c r="M11" s="26">
        <v>136.9</v>
      </c>
      <c r="N11" s="27">
        <v>114.6</v>
      </c>
    </row>
    <row r="12" spans="1:17" ht="15.75" customHeight="1">
      <c r="A12" s="3" t="s">
        <v>107</v>
      </c>
      <c r="B12" s="66">
        <v>2020</v>
      </c>
      <c r="C12" s="67">
        <v>832</v>
      </c>
      <c r="D12" s="67">
        <v>114.2</v>
      </c>
      <c r="E12" s="67">
        <v>126.9</v>
      </c>
      <c r="F12" s="66">
        <v>1060</v>
      </c>
      <c r="G12" s="66">
        <v>1157</v>
      </c>
      <c r="H12" s="66">
        <v>1441</v>
      </c>
      <c r="I12" s="66">
        <v>1971</v>
      </c>
      <c r="J12" s="66">
        <v>2302</v>
      </c>
      <c r="L12" s="9" t="s">
        <v>21</v>
      </c>
      <c r="M12" s="26">
        <v>168</v>
      </c>
      <c r="N12" s="27">
        <v>123.3</v>
      </c>
    </row>
    <row r="13" spans="1:17" ht="15.75" customHeight="1">
      <c r="A13" s="2" t="s">
        <v>16</v>
      </c>
      <c r="B13" s="64">
        <v>1972</v>
      </c>
      <c r="C13" s="65">
        <v>919</v>
      </c>
      <c r="D13" s="65">
        <v>100.7</v>
      </c>
      <c r="E13" s="65">
        <v>104.5</v>
      </c>
      <c r="F13" s="64">
        <v>1117</v>
      </c>
      <c r="G13" s="64">
        <v>1151</v>
      </c>
      <c r="H13" s="64">
        <v>1345</v>
      </c>
      <c r="I13" s="64">
        <v>1758</v>
      </c>
      <c r="J13" s="64">
        <v>2107</v>
      </c>
      <c r="L13" s="9" t="s">
        <v>22</v>
      </c>
      <c r="M13" s="26">
        <v>93.3</v>
      </c>
      <c r="N13" s="27">
        <v>97.8</v>
      </c>
    </row>
    <row r="14" spans="1:17" ht="15.75" customHeight="1">
      <c r="A14" s="3" t="s">
        <v>14</v>
      </c>
      <c r="B14" s="66">
        <v>1971</v>
      </c>
      <c r="C14" s="67">
        <v>840</v>
      </c>
      <c r="D14" s="67">
        <v>112.1</v>
      </c>
      <c r="E14" s="67">
        <v>128.69999999999999</v>
      </c>
      <c r="F14" s="66">
        <v>893</v>
      </c>
      <c r="G14" s="66">
        <v>958</v>
      </c>
      <c r="H14" s="66">
        <v>1206</v>
      </c>
      <c r="I14" s="66">
        <v>1571</v>
      </c>
      <c r="J14" s="66">
        <v>1748</v>
      </c>
      <c r="L14" s="9" t="s">
        <v>11</v>
      </c>
      <c r="M14" s="26">
        <v>113.4</v>
      </c>
      <c r="N14" s="27">
        <v>112.2</v>
      </c>
    </row>
    <row r="15" spans="1:17" ht="15.75" customHeight="1">
      <c r="A15" s="2" t="s">
        <v>23</v>
      </c>
      <c r="B15" s="64">
        <v>1955</v>
      </c>
      <c r="C15" s="65">
        <v>973</v>
      </c>
      <c r="D15" s="65">
        <v>102.8</v>
      </c>
      <c r="E15" s="65">
        <v>108.1</v>
      </c>
      <c r="F15" s="64">
        <v>1134</v>
      </c>
      <c r="G15" s="64">
        <v>1216</v>
      </c>
      <c r="H15" s="64">
        <v>1446</v>
      </c>
      <c r="I15" s="64">
        <v>1879</v>
      </c>
      <c r="J15" s="64">
        <v>2183</v>
      </c>
      <c r="L15" s="9" t="s">
        <v>20</v>
      </c>
      <c r="M15" s="26">
        <v>86.7</v>
      </c>
      <c r="N15" s="27">
        <v>95.9</v>
      </c>
    </row>
    <row r="16" spans="1:17" ht="15.75" customHeight="1">
      <c r="A16" s="3" t="s">
        <v>103</v>
      </c>
      <c r="B16" s="66">
        <v>1944</v>
      </c>
      <c r="C16" s="67">
        <v>835</v>
      </c>
      <c r="D16" s="67">
        <v>94.4</v>
      </c>
      <c r="E16" s="67">
        <v>83.3</v>
      </c>
      <c r="F16" s="66">
        <v>736</v>
      </c>
      <c r="G16" s="66">
        <v>814</v>
      </c>
      <c r="H16" s="66">
        <v>1015</v>
      </c>
      <c r="I16" s="66">
        <v>1315</v>
      </c>
      <c r="J16" s="66">
        <v>1484</v>
      </c>
      <c r="L16" s="11" t="s">
        <v>16</v>
      </c>
      <c r="M16" s="28">
        <v>104.5</v>
      </c>
      <c r="N16" s="29">
        <v>100.7</v>
      </c>
    </row>
    <row r="17" spans="1:10" ht="15.75" customHeight="1">
      <c r="A17" s="2" t="s">
        <v>71</v>
      </c>
      <c r="B17" s="64">
        <v>1884</v>
      </c>
      <c r="C17" s="65">
        <v>871</v>
      </c>
      <c r="D17" s="65">
        <v>102</v>
      </c>
      <c r="E17" s="65">
        <v>107.7</v>
      </c>
      <c r="F17" s="64">
        <v>1062</v>
      </c>
      <c r="G17" s="64">
        <v>1137</v>
      </c>
      <c r="H17" s="64">
        <v>1408</v>
      </c>
      <c r="I17" s="64">
        <v>1835</v>
      </c>
      <c r="J17" s="64">
        <v>2162</v>
      </c>
    </row>
    <row r="18" spans="1:10" ht="15.75" customHeight="1">
      <c r="A18" s="3" t="s">
        <v>15</v>
      </c>
      <c r="B18" s="66">
        <v>1859</v>
      </c>
      <c r="C18" s="67">
        <v>903</v>
      </c>
      <c r="D18" s="67">
        <v>115.3</v>
      </c>
      <c r="E18" s="67">
        <v>135.80000000000001</v>
      </c>
      <c r="F18" s="66">
        <v>1354</v>
      </c>
      <c r="G18" s="66">
        <v>1445</v>
      </c>
      <c r="H18" s="66">
        <v>1716</v>
      </c>
      <c r="I18" s="66">
        <v>2214</v>
      </c>
      <c r="J18" s="66">
        <v>2547</v>
      </c>
    </row>
    <row r="19" spans="1:10" ht="15.75" customHeight="1">
      <c r="A19" s="2" t="s">
        <v>101</v>
      </c>
      <c r="B19" s="64">
        <v>1757</v>
      </c>
      <c r="C19" s="65">
        <v>847</v>
      </c>
      <c r="D19" s="65">
        <v>112</v>
      </c>
      <c r="E19" s="65">
        <v>133.30000000000001</v>
      </c>
      <c r="F19" s="64">
        <v>994</v>
      </c>
      <c r="G19" s="64">
        <v>1090</v>
      </c>
      <c r="H19" s="64">
        <v>1356</v>
      </c>
      <c r="I19" s="64">
        <v>1879</v>
      </c>
      <c r="J19" s="64">
        <v>2209</v>
      </c>
    </row>
    <row r="20" spans="1:10" ht="15.75" customHeight="1">
      <c r="A20" s="3" t="s">
        <v>77</v>
      </c>
      <c r="B20" s="66">
        <v>1730</v>
      </c>
      <c r="C20" s="67">
        <v>888</v>
      </c>
      <c r="D20" s="67">
        <v>95.1</v>
      </c>
      <c r="E20" s="67">
        <v>84.3</v>
      </c>
      <c r="F20" s="66">
        <v>854</v>
      </c>
      <c r="G20" s="66">
        <v>942</v>
      </c>
      <c r="H20" s="66">
        <v>1158</v>
      </c>
      <c r="I20" s="66">
        <v>1482</v>
      </c>
      <c r="J20" s="66">
        <v>1658</v>
      </c>
    </row>
    <row r="21" spans="1:10" ht="15.75" customHeight="1">
      <c r="A21" s="2" t="s">
        <v>19</v>
      </c>
      <c r="B21" s="64">
        <v>1646</v>
      </c>
      <c r="C21" s="65">
        <v>916</v>
      </c>
      <c r="D21" s="65">
        <v>100.8</v>
      </c>
      <c r="E21" s="65">
        <v>97.4</v>
      </c>
      <c r="F21" s="64">
        <v>1192</v>
      </c>
      <c r="G21" s="64">
        <v>1253</v>
      </c>
      <c r="H21" s="64">
        <v>1564</v>
      </c>
      <c r="I21" s="64">
        <v>2005</v>
      </c>
      <c r="J21" s="64">
        <v>2314</v>
      </c>
    </row>
    <row r="22" spans="1:10" ht="15.75" customHeight="1">
      <c r="A22" s="3" t="s">
        <v>24</v>
      </c>
      <c r="B22" s="66">
        <v>1608</v>
      </c>
      <c r="C22" s="68">
        <v>1015</v>
      </c>
      <c r="D22" s="67">
        <v>91.3</v>
      </c>
      <c r="E22" s="67">
        <v>79.2</v>
      </c>
      <c r="F22" s="66">
        <v>932</v>
      </c>
      <c r="G22" s="66">
        <v>972</v>
      </c>
      <c r="H22" s="66">
        <v>1151</v>
      </c>
      <c r="I22" s="66">
        <v>1465</v>
      </c>
      <c r="J22" s="66">
        <v>1712</v>
      </c>
    </row>
    <row r="23" spans="1:10" ht="15.75" customHeight="1">
      <c r="A23" s="2" t="s">
        <v>95</v>
      </c>
      <c r="B23" s="64">
        <v>1607</v>
      </c>
      <c r="C23" s="65">
        <v>915</v>
      </c>
      <c r="D23" s="65">
        <v>102</v>
      </c>
      <c r="E23" s="65">
        <v>100.9</v>
      </c>
      <c r="F23" s="64">
        <v>836</v>
      </c>
      <c r="G23" s="64">
        <v>908</v>
      </c>
      <c r="H23" s="64">
        <v>1127</v>
      </c>
      <c r="I23" s="64">
        <v>1565</v>
      </c>
      <c r="J23" s="64">
        <v>1872</v>
      </c>
    </row>
    <row r="24" spans="1:10" ht="15.75" customHeight="1">
      <c r="A24" s="3" t="s">
        <v>86</v>
      </c>
      <c r="B24" s="66">
        <v>1605</v>
      </c>
      <c r="C24" s="67">
        <v>868</v>
      </c>
      <c r="D24" s="67">
        <v>94.9</v>
      </c>
      <c r="E24" s="67">
        <v>86.5</v>
      </c>
      <c r="F24" s="66">
        <v>814</v>
      </c>
      <c r="G24" s="66">
        <v>889</v>
      </c>
      <c r="H24" s="66">
        <v>1116</v>
      </c>
      <c r="I24" s="66">
        <v>1488</v>
      </c>
      <c r="J24" s="66">
        <v>1766</v>
      </c>
    </row>
    <row r="25" spans="1:10" ht="15.75" customHeight="1">
      <c r="A25" s="2" t="s">
        <v>66</v>
      </c>
      <c r="B25" s="64">
        <v>1597</v>
      </c>
      <c r="C25" s="65">
        <v>917</v>
      </c>
      <c r="D25" s="65">
        <v>104.9</v>
      </c>
      <c r="E25" s="65">
        <v>116.8</v>
      </c>
      <c r="F25" s="64">
        <v>874</v>
      </c>
      <c r="G25" s="64">
        <v>977</v>
      </c>
      <c r="H25" s="64">
        <v>1187</v>
      </c>
      <c r="I25" s="64">
        <v>1586</v>
      </c>
      <c r="J25" s="64">
        <v>1870</v>
      </c>
    </row>
    <row r="26" spans="1:10" ht="15.75" customHeight="1">
      <c r="A26" s="3" t="s">
        <v>20</v>
      </c>
      <c r="B26" s="66">
        <v>1594</v>
      </c>
      <c r="C26" s="68">
        <v>1003</v>
      </c>
      <c r="D26" s="67">
        <v>95.9</v>
      </c>
      <c r="E26" s="67">
        <v>86.7</v>
      </c>
      <c r="F26" s="66">
        <v>919</v>
      </c>
      <c r="G26" s="66">
        <v>969</v>
      </c>
      <c r="H26" s="66">
        <v>1150</v>
      </c>
      <c r="I26" s="66">
        <v>1458</v>
      </c>
      <c r="J26" s="66">
        <v>1697</v>
      </c>
    </row>
    <row r="27" spans="1:10" ht="15.75" customHeight="1">
      <c r="A27" s="2" t="s">
        <v>114</v>
      </c>
      <c r="B27" s="64">
        <v>1575</v>
      </c>
      <c r="C27" s="65">
        <v>849</v>
      </c>
      <c r="D27" s="65">
        <v>111.5</v>
      </c>
      <c r="E27" s="65">
        <v>131.9</v>
      </c>
      <c r="F27" s="64">
        <v>1055</v>
      </c>
      <c r="G27" s="64">
        <v>1163</v>
      </c>
      <c r="H27" s="64">
        <v>1431</v>
      </c>
      <c r="I27" s="64">
        <v>1918</v>
      </c>
      <c r="J27" s="64">
        <v>2165</v>
      </c>
    </row>
    <row r="28" spans="1:10" ht="15.75" customHeight="1">
      <c r="A28" s="3" t="s">
        <v>57</v>
      </c>
      <c r="B28" s="66">
        <v>1558</v>
      </c>
      <c r="C28" s="67">
        <v>888</v>
      </c>
      <c r="D28" s="67">
        <v>95.1</v>
      </c>
      <c r="E28" s="67">
        <v>80.900000000000006</v>
      </c>
      <c r="F28" s="66">
        <v>775</v>
      </c>
      <c r="G28" s="66">
        <v>862</v>
      </c>
      <c r="H28" s="66">
        <v>1081</v>
      </c>
      <c r="I28" s="66">
        <v>1432</v>
      </c>
      <c r="J28" s="66">
        <v>1644</v>
      </c>
    </row>
    <row r="29" spans="1:10" ht="15.75" customHeight="1">
      <c r="A29" s="2" t="s">
        <v>83</v>
      </c>
      <c r="B29" s="64">
        <v>1548</v>
      </c>
      <c r="C29" s="65">
        <v>907</v>
      </c>
      <c r="D29" s="65">
        <v>97</v>
      </c>
      <c r="E29" s="65">
        <v>91.6</v>
      </c>
      <c r="F29" s="64">
        <v>754</v>
      </c>
      <c r="G29" s="64">
        <v>832</v>
      </c>
      <c r="H29" s="64">
        <v>1052</v>
      </c>
      <c r="I29" s="64">
        <v>1349</v>
      </c>
      <c r="J29" s="64">
        <v>1511</v>
      </c>
    </row>
    <row r="30" spans="1:10" ht="15.75" customHeight="1">
      <c r="A30" s="3" t="s">
        <v>112</v>
      </c>
      <c r="B30" s="66">
        <v>1525</v>
      </c>
      <c r="C30" s="67">
        <v>902</v>
      </c>
      <c r="D30" s="67">
        <v>101.3</v>
      </c>
      <c r="E30" s="67">
        <v>107.7</v>
      </c>
      <c r="F30" s="66">
        <v>983</v>
      </c>
      <c r="G30" s="66">
        <v>1080</v>
      </c>
      <c r="H30" s="66">
        <v>1360</v>
      </c>
      <c r="I30" s="66">
        <v>1864</v>
      </c>
      <c r="J30" s="66">
        <v>2255</v>
      </c>
    </row>
    <row r="31" spans="1:10" ht="15.75" customHeight="1">
      <c r="A31" s="2" t="s">
        <v>22</v>
      </c>
      <c r="B31" s="64">
        <v>1524</v>
      </c>
      <c r="C31" s="65">
        <v>964</v>
      </c>
      <c r="D31" s="65">
        <v>97.8</v>
      </c>
      <c r="E31" s="65">
        <v>93.3</v>
      </c>
      <c r="F31" s="64">
        <v>927</v>
      </c>
      <c r="G31" s="64">
        <v>969</v>
      </c>
      <c r="H31" s="64">
        <v>1158</v>
      </c>
      <c r="I31" s="64">
        <v>1501</v>
      </c>
      <c r="J31" s="64">
        <v>1781</v>
      </c>
    </row>
    <row r="32" spans="1:10" ht="15.75" customHeight="1">
      <c r="A32" s="3" t="s">
        <v>124</v>
      </c>
      <c r="B32" s="66">
        <v>1494</v>
      </c>
      <c r="C32" s="67">
        <v>947</v>
      </c>
      <c r="D32" s="67">
        <v>90.5</v>
      </c>
      <c r="E32" s="67">
        <v>83.2</v>
      </c>
      <c r="F32" s="66">
        <v>887</v>
      </c>
      <c r="G32" s="66">
        <v>925</v>
      </c>
      <c r="H32" s="66">
        <v>1120</v>
      </c>
      <c r="I32" s="66">
        <v>1447</v>
      </c>
      <c r="J32" s="66">
        <v>1654</v>
      </c>
    </row>
    <row r="33" spans="1:10" ht="15.75" customHeight="1">
      <c r="A33" s="2" t="s">
        <v>134</v>
      </c>
      <c r="B33" s="64">
        <v>1482</v>
      </c>
      <c r="C33" s="65">
        <v>702</v>
      </c>
      <c r="D33" s="65">
        <v>123.8</v>
      </c>
      <c r="E33" s="65">
        <v>118</v>
      </c>
      <c r="F33" s="64">
        <v>1058</v>
      </c>
      <c r="G33" s="64">
        <v>1170</v>
      </c>
      <c r="H33" s="64">
        <v>1461</v>
      </c>
      <c r="I33" s="64">
        <v>1936</v>
      </c>
      <c r="J33" s="64">
        <v>2239</v>
      </c>
    </row>
    <row r="34" spans="1:10" ht="15.75" customHeight="1">
      <c r="A34" s="3" t="s">
        <v>132</v>
      </c>
      <c r="B34" s="66">
        <v>1449</v>
      </c>
      <c r="C34" s="67">
        <v>883</v>
      </c>
      <c r="D34" s="67">
        <v>92.7</v>
      </c>
      <c r="E34" s="67">
        <v>82</v>
      </c>
      <c r="F34" s="66">
        <v>857</v>
      </c>
      <c r="G34" s="66">
        <v>905</v>
      </c>
      <c r="H34" s="66">
        <v>1109</v>
      </c>
      <c r="I34" s="66">
        <v>1447</v>
      </c>
      <c r="J34" s="66">
        <v>1689</v>
      </c>
    </row>
    <row r="35" spans="1:10" ht="15.75" customHeight="1">
      <c r="A35" s="2" t="s">
        <v>117</v>
      </c>
      <c r="B35" s="64">
        <v>1389</v>
      </c>
      <c r="C35" s="65">
        <v>831</v>
      </c>
      <c r="D35" s="65">
        <v>93.3</v>
      </c>
      <c r="E35" s="65">
        <v>86.9</v>
      </c>
      <c r="F35" s="64">
        <v>755</v>
      </c>
      <c r="G35" s="64">
        <v>853</v>
      </c>
      <c r="H35" s="64">
        <v>1039</v>
      </c>
      <c r="I35" s="64">
        <v>1389</v>
      </c>
      <c r="J35" s="64">
        <v>1649</v>
      </c>
    </row>
    <row r="36" spans="1:10" ht="15.75" customHeight="1">
      <c r="A36" s="3" t="s">
        <v>79</v>
      </c>
      <c r="B36" s="66">
        <v>1346</v>
      </c>
      <c r="C36" s="67">
        <v>915</v>
      </c>
      <c r="D36" s="67">
        <v>90.4</v>
      </c>
      <c r="E36" s="67">
        <v>73.7</v>
      </c>
      <c r="F36" s="66">
        <v>755</v>
      </c>
      <c r="G36" s="66">
        <v>837</v>
      </c>
      <c r="H36" s="66">
        <v>1046</v>
      </c>
      <c r="I36" s="66">
        <v>1338</v>
      </c>
      <c r="J36" s="66">
        <v>1492</v>
      </c>
    </row>
    <row r="37" spans="1:10" ht="15.75" customHeight="1">
      <c r="A37" s="2" t="s">
        <v>119</v>
      </c>
      <c r="B37" s="64">
        <v>1332</v>
      </c>
      <c r="C37" s="65">
        <v>872</v>
      </c>
      <c r="D37" s="65">
        <v>95.5</v>
      </c>
      <c r="E37" s="65">
        <v>88.6</v>
      </c>
      <c r="F37" s="64">
        <v>764</v>
      </c>
      <c r="G37" s="64">
        <v>790</v>
      </c>
      <c r="H37" s="64">
        <v>1010</v>
      </c>
      <c r="I37" s="64">
        <v>1352</v>
      </c>
      <c r="J37" s="64">
        <v>1660</v>
      </c>
    </row>
    <row r="38" spans="1:10" ht="15.75" customHeight="1">
      <c r="A38" s="3" t="s">
        <v>142</v>
      </c>
      <c r="B38" s="66">
        <v>1305</v>
      </c>
      <c r="C38" s="68">
        <v>1011</v>
      </c>
      <c r="D38" s="67">
        <v>87.9</v>
      </c>
      <c r="E38" s="67">
        <v>73.900000000000006</v>
      </c>
      <c r="F38" s="66">
        <v>796</v>
      </c>
      <c r="G38" s="66">
        <v>828</v>
      </c>
      <c r="H38" s="66">
        <v>995</v>
      </c>
      <c r="I38" s="66">
        <v>1267</v>
      </c>
      <c r="J38" s="66">
        <v>1392</v>
      </c>
    </row>
    <row r="39" spans="1:10" ht="15.75" customHeight="1">
      <c r="A39" s="2" t="s">
        <v>93</v>
      </c>
      <c r="B39" s="64">
        <v>1293</v>
      </c>
      <c r="C39" s="65">
        <v>905</v>
      </c>
      <c r="D39" s="65">
        <v>90.5</v>
      </c>
      <c r="E39" s="65">
        <v>77.099999999999994</v>
      </c>
      <c r="F39" s="64">
        <v>764</v>
      </c>
      <c r="G39" s="64">
        <v>836</v>
      </c>
      <c r="H39" s="64">
        <v>1042</v>
      </c>
      <c r="I39" s="64">
        <v>1327</v>
      </c>
      <c r="J39" s="64">
        <v>1510</v>
      </c>
    </row>
    <row r="40" spans="1:10" ht="15.75" customHeight="1">
      <c r="A40" s="3" t="s">
        <v>141</v>
      </c>
      <c r="B40" s="66">
        <v>1288</v>
      </c>
      <c r="C40" s="67">
        <v>987</v>
      </c>
      <c r="D40" s="67">
        <v>88</v>
      </c>
      <c r="E40" s="67">
        <v>69.5</v>
      </c>
      <c r="F40" s="66">
        <v>703</v>
      </c>
      <c r="G40" s="66">
        <v>758</v>
      </c>
      <c r="H40" s="66">
        <v>924</v>
      </c>
      <c r="I40" s="66">
        <v>1196</v>
      </c>
      <c r="J40" s="66">
        <v>1372</v>
      </c>
    </row>
    <row r="41" spans="1:10" ht="15.75" customHeight="1">
      <c r="A41" s="2" t="s">
        <v>105</v>
      </c>
      <c r="B41" s="64">
        <v>1287</v>
      </c>
      <c r="C41" s="65">
        <v>930</v>
      </c>
      <c r="D41" s="65">
        <v>93</v>
      </c>
      <c r="E41" s="65">
        <v>78.7</v>
      </c>
      <c r="F41" s="64">
        <v>705</v>
      </c>
      <c r="G41" s="64">
        <v>776</v>
      </c>
      <c r="H41" s="64">
        <v>969</v>
      </c>
      <c r="I41" s="64">
        <v>1259</v>
      </c>
      <c r="J41" s="64">
        <v>1419</v>
      </c>
    </row>
    <row r="42" spans="1:10" ht="15.75" customHeight="1">
      <c r="A42" s="3" t="s">
        <v>88</v>
      </c>
      <c r="B42" s="66">
        <v>1285</v>
      </c>
      <c r="C42" s="67">
        <v>934</v>
      </c>
      <c r="D42" s="67">
        <v>93.1</v>
      </c>
      <c r="E42" s="67">
        <v>80</v>
      </c>
      <c r="F42" s="66">
        <v>653</v>
      </c>
      <c r="G42" s="66">
        <v>741</v>
      </c>
      <c r="H42" s="66">
        <v>938</v>
      </c>
      <c r="I42" s="66">
        <v>1191</v>
      </c>
      <c r="J42" s="66">
        <v>1317</v>
      </c>
    </row>
    <row r="43" spans="1:10" ht="15.75" customHeight="1">
      <c r="A43" s="2" t="s">
        <v>99</v>
      </c>
      <c r="B43" s="64">
        <v>1279</v>
      </c>
      <c r="C43" s="65">
        <v>897</v>
      </c>
      <c r="D43" s="65">
        <v>94.2</v>
      </c>
      <c r="E43" s="65">
        <v>85.7</v>
      </c>
      <c r="F43" s="64">
        <v>747</v>
      </c>
      <c r="G43" s="64">
        <v>807</v>
      </c>
      <c r="H43" s="64">
        <v>1014</v>
      </c>
      <c r="I43" s="64">
        <v>1290</v>
      </c>
      <c r="J43" s="64">
        <v>1440</v>
      </c>
    </row>
    <row r="44" spans="1:10" ht="15.75" customHeight="1">
      <c r="A44" s="3" t="s">
        <v>139</v>
      </c>
      <c r="B44" s="66">
        <v>1275</v>
      </c>
      <c r="C44" s="67">
        <v>976</v>
      </c>
      <c r="D44" s="67">
        <v>84.1</v>
      </c>
      <c r="E44" s="67">
        <v>59.9</v>
      </c>
      <c r="F44" s="66">
        <v>697</v>
      </c>
      <c r="G44" s="66">
        <v>754</v>
      </c>
      <c r="H44" s="66">
        <v>927</v>
      </c>
      <c r="I44" s="66">
        <v>1215</v>
      </c>
      <c r="J44" s="66">
        <v>1378</v>
      </c>
    </row>
    <row r="45" spans="1:10" ht="13.5">
      <c r="A45" s="2" t="s">
        <v>90</v>
      </c>
      <c r="B45" s="64">
        <v>1273</v>
      </c>
      <c r="C45" s="65">
        <v>898</v>
      </c>
      <c r="D45" s="65">
        <v>88.7</v>
      </c>
      <c r="E45" s="65">
        <v>77.8</v>
      </c>
      <c r="F45" s="64">
        <v>691</v>
      </c>
      <c r="G45" s="64">
        <v>730</v>
      </c>
      <c r="H45" s="64">
        <v>918</v>
      </c>
      <c r="I45" s="64">
        <v>1200</v>
      </c>
      <c r="J45" s="64">
        <v>1383</v>
      </c>
    </row>
    <row r="46" spans="1:10" ht="13.5">
      <c r="A46" s="3" t="s">
        <v>81</v>
      </c>
      <c r="B46" s="66">
        <v>1243</v>
      </c>
      <c r="C46" s="67">
        <v>903</v>
      </c>
      <c r="D46" s="67">
        <v>87</v>
      </c>
      <c r="E46" s="67">
        <v>72.400000000000006</v>
      </c>
      <c r="F46" s="66">
        <v>674</v>
      </c>
      <c r="G46" s="66">
        <v>735</v>
      </c>
      <c r="H46" s="66">
        <v>928</v>
      </c>
      <c r="I46" s="66">
        <v>1200</v>
      </c>
      <c r="J46" s="66">
        <v>1358</v>
      </c>
    </row>
    <row r="47" spans="1:10" ht="13.5">
      <c r="A47" s="2" t="s">
        <v>128</v>
      </c>
      <c r="B47" s="64">
        <v>1235</v>
      </c>
      <c r="C47" s="65">
        <v>916</v>
      </c>
      <c r="D47" s="65">
        <v>92.2</v>
      </c>
      <c r="E47" s="65">
        <v>83.8</v>
      </c>
      <c r="F47" s="64">
        <v>799</v>
      </c>
      <c r="G47" s="64">
        <v>867</v>
      </c>
      <c r="H47" s="64">
        <v>1054</v>
      </c>
      <c r="I47" s="64">
        <v>1357</v>
      </c>
      <c r="J47" s="64">
        <v>1577</v>
      </c>
    </row>
    <row r="48" spans="1:10" ht="13.5">
      <c r="A48" s="3" t="s">
        <v>62</v>
      </c>
      <c r="B48" s="66">
        <v>1220</v>
      </c>
      <c r="C48" s="67">
        <v>895</v>
      </c>
      <c r="D48" s="67">
        <v>89.7</v>
      </c>
      <c r="E48" s="67">
        <v>74.8</v>
      </c>
      <c r="F48" s="66">
        <v>693</v>
      </c>
      <c r="G48" s="66">
        <v>746</v>
      </c>
      <c r="H48" s="66">
        <v>938</v>
      </c>
      <c r="I48" s="66">
        <v>1215</v>
      </c>
      <c r="J48" s="66">
        <v>1344</v>
      </c>
    </row>
    <row r="49" spans="1:10" ht="13.5">
      <c r="A49" s="2" t="s">
        <v>60</v>
      </c>
      <c r="B49" s="64">
        <v>1127</v>
      </c>
      <c r="C49" s="65">
        <v>902</v>
      </c>
      <c r="D49" s="65">
        <v>92.2</v>
      </c>
      <c r="E49" s="65">
        <v>88.1</v>
      </c>
      <c r="F49" s="64">
        <v>638</v>
      </c>
      <c r="G49" s="64">
        <v>729</v>
      </c>
      <c r="H49" s="64">
        <v>920</v>
      </c>
      <c r="I49" s="64">
        <v>1215</v>
      </c>
      <c r="J49" s="64">
        <v>1440</v>
      </c>
    </row>
    <row r="50" spans="1:10" ht="13.5">
      <c r="A50" s="3" t="s">
        <v>130</v>
      </c>
      <c r="B50" s="66">
        <v>1093</v>
      </c>
      <c r="C50" s="67">
        <v>888</v>
      </c>
      <c r="D50" s="67">
        <v>88.7</v>
      </c>
      <c r="E50" s="67">
        <v>74.8</v>
      </c>
      <c r="F50" s="66">
        <v>674</v>
      </c>
      <c r="G50" s="66">
        <v>716</v>
      </c>
      <c r="H50" s="66">
        <v>901</v>
      </c>
      <c r="I50" s="66">
        <v>1184</v>
      </c>
      <c r="J50" s="66">
        <v>1339</v>
      </c>
    </row>
    <row r="51" spans="1:10" ht="13.5">
      <c r="A51" s="2" t="s">
        <v>73</v>
      </c>
      <c r="B51" s="64">
        <v>1077</v>
      </c>
      <c r="C51" s="65">
        <v>959</v>
      </c>
      <c r="D51" s="65">
        <v>91.9</v>
      </c>
      <c r="E51" s="65">
        <v>80.099999999999994</v>
      </c>
      <c r="F51" s="64">
        <v>776</v>
      </c>
      <c r="G51" s="64">
        <v>798</v>
      </c>
      <c r="H51" s="64">
        <v>967</v>
      </c>
      <c r="I51" s="64">
        <v>1300</v>
      </c>
      <c r="J51" s="64">
        <v>1590</v>
      </c>
    </row>
    <row r="52" spans="1:10" ht="13.5">
      <c r="A52" s="4" t="s">
        <v>136</v>
      </c>
      <c r="B52" s="69">
        <v>1035</v>
      </c>
      <c r="C52" s="70">
        <v>857</v>
      </c>
      <c r="D52" s="70">
        <v>85.7</v>
      </c>
      <c r="E52" s="70">
        <v>68.599999999999994</v>
      </c>
      <c r="F52" s="69">
        <v>715</v>
      </c>
      <c r="G52" s="69">
        <v>763</v>
      </c>
      <c r="H52" s="69">
        <v>962</v>
      </c>
      <c r="I52" s="69">
        <v>1250</v>
      </c>
      <c r="J52" s="69">
        <v>1449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ashboard">
                <anchor moveWithCells="1">
                  <from>
                    <xdr:col>10</xdr:col>
                    <xdr:colOff>828675</xdr:colOff>
                    <xdr:row>18</xdr:row>
                    <xdr:rowOff>9525</xdr:rowOff>
                  </from>
                  <to>
                    <xdr:col>12</xdr:col>
                    <xdr:colOff>581025</xdr:colOff>
                    <xdr:row>21</xdr:row>
                    <xdr:rowOff>38100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N52"/>
  <sheetViews>
    <sheetView topLeftCell="M1" workbookViewId="0">
      <selection activeCell="P9" sqref="P9"/>
    </sheetView>
  </sheetViews>
  <sheetFormatPr defaultColWidth="16.33203125" defaultRowHeight="15.75" customHeight="1"/>
  <cols>
    <col min="1" max="16384" width="16.33203125" style="75"/>
  </cols>
  <sheetData>
    <row r="1" spans="1:14" s="91" customFormat="1" ht="54">
      <c r="A1" s="77" t="s">
        <v>149</v>
      </c>
      <c r="B1" s="61" t="s">
        <v>163</v>
      </c>
      <c r="C1" s="61" t="s">
        <v>164</v>
      </c>
      <c r="D1" s="61" t="s">
        <v>165</v>
      </c>
      <c r="E1" s="61" t="s">
        <v>166</v>
      </c>
      <c r="F1" s="61" t="s">
        <v>167</v>
      </c>
      <c r="G1" s="61" t="s">
        <v>168</v>
      </c>
      <c r="H1" s="61" t="s">
        <v>169</v>
      </c>
      <c r="I1" s="61" t="s">
        <v>170</v>
      </c>
      <c r="J1" s="61" t="s">
        <v>171</v>
      </c>
      <c r="K1" s="61" t="s">
        <v>172</v>
      </c>
      <c r="L1" s="61" t="s">
        <v>173</v>
      </c>
      <c r="M1" s="61" t="s">
        <v>174</v>
      </c>
      <c r="N1" s="61" t="s">
        <v>175</v>
      </c>
    </row>
    <row r="2" spans="1:14" ht="15.75" customHeight="1">
      <c r="A2" s="1" t="s">
        <v>110</v>
      </c>
      <c r="B2" s="82">
        <v>1104212</v>
      </c>
      <c r="C2" s="83">
        <v>2830</v>
      </c>
      <c r="D2" s="82">
        <v>198036</v>
      </c>
      <c r="E2" s="83">
        <v>508</v>
      </c>
      <c r="F2" s="82">
        <v>1929</v>
      </c>
      <c r="G2" s="82">
        <v>14190</v>
      </c>
      <c r="H2" s="82">
        <v>49977</v>
      </c>
      <c r="I2" s="82">
        <v>131940</v>
      </c>
      <c r="J2" s="82">
        <v>906176</v>
      </c>
      <c r="K2" s="83">
        <v>2330</v>
      </c>
      <c r="L2" s="82">
        <v>135369</v>
      </c>
      <c r="M2" s="82">
        <v>571215</v>
      </c>
      <c r="N2" s="82">
        <v>199592</v>
      </c>
    </row>
    <row r="3" spans="1:14" ht="15.75" customHeight="1">
      <c r="A3" s="2" t="s">
        <v>132</v>
      </c>
      <c r="B3" s="84">
        <v>806610</v>
      </c>
      <c r="C3" s="85">
        <v>2640</v>
      </c>
      <c r="D3" s="84">
        <v>123856</v>
      </c>
      <c r="E3" s="85">
        <v>406</v>
      </c>
      <c r="F3" s="84">
        <v>1845</v>
      </c>
      <c r="G3" s="84">
        <v>15097</v>
      </c>
      <c r="H3" s="84">
        <v>21000</v>
      </c>
      <c r="I3" s="84">
        <v>85914</v>
      </c>
      <c r="J3" s="84">
        <v>682754</v>
      </c>
      <c r="K3" s="85">
        <v>2240</v>
      </c>
      <c r="L3" s="84">
        <v>92693</v>
      </c>
      <c r="M3" s="84">
        <v>465016</v>
      </c>
      <c r="N3" s="84">
        <v>125045</v>
      </c>
    </row>
    <row r="4" spans="1:14" ht="15.75" customHeight="1">
      <c r="A4" s="3" t="s">
        <v>21</v>
      </c>
      <c r="B4" s="86">
        <v>428313</v>
      </c>
      <c r="C4" s="87">
        <v>2190</v>
      </c>
      <c r="D4" s="86">
        <v>76298</v>
      </c>
      <c r="E4" s="87">
        <v>390</v>
      </c>
      <c r="F4" s="87">
        <v>595</v>
      </c>
      <c r="G4" s="86">
        <v>4900</v>
      </c>
      <c r="H4" s="86">
        <v>20578</v>
      </c>
      <c r="I4" s="86">
        <v>50225</v>
      </c>
      <c r="J4" s="86">
        <v>352015</v>
      </c>
      <c r="K4" s="87">
        <v>1800</v>
      </c>
      <c r="L4" s="86">
        <v>29905</v>
      </c>
      <c r="M4" s="86">
        <v>286473</v>
      </c>
      <c r="N4" s="86">
        <v>35637</v>
      </c>
    </row>
    <row r="5" spans="1:14" ht="15.75" customHeight="1">
      <c r="A5" s="2" t="s">
        <v>23</v>
      </c>
      <c r="B5" s="84">
        <v>408486</v>
      </c>
      <c r="C5" s="85">
        <v>1810</v>
      </c>
      <c r="D5" s="84">
        <v>65621</v>
      </c>
      <c r="E5" s="85">
        <v>290</v>
      </c>
      <c r="F5" s="84">
        <v>1066</v>
      </c>
      <c r="G5" s="84">
        <v>6755</v>
      </c>
      <c r="H5" s="84">
        <v>9564</v>
      </c>
      <c r="I5" s="84">
        <v>48236</v>
      </c>
      <c r="J5" s="84">
        <v>342865</v>
      </c>
      <c r="K5" s="85">
        <v>1520</v>
      </c>
      <c r="L5" s="84">
        <v>36874</v>
      </c>
      <c r="M5" s="84">
        <v>276181</v>
      </c>
      <c r="N5" s="84">
        <v>29810</v>
      </c>
    </row>
    <row r="6" spans="1:14" ht="15.75" customHeight="1">
      <c r="A6" s="3" t="s">
        <v>22</v>
      </c>
      <c r="B6" s="86">
        <v>266145</v>
      </c>
      <c r="C6" s="87">
        <v>2460</v>
      </c>
      <c r="D6" s="86">
        <v>42408</v>
      </c>
      <c r="E6" s="87">
        <v>391</v>
      </c>
      <c r="F6" s="87">
        <v>855</v>
      </c>
      <c r="G6" s="86">
        <v>3051</v>
      </c>
      <c r="H6" s="86">
        <v>5617</v>
      </c>
      <c r="I6" s="86">
        <v>32885</v>
      </c>
      <c r="J6" s="86">
        <v>223737</v>
      </c>
      <c r="K6" s="87">
        <v>2060</v>
      </c>
      <c r="L6" s="86">
        <v>38500</v>
      </c>
      <c r="M6" s="86">
        <v>156871</v>
      </c>
      <c r="N6" s="86">
        <v>28366</v>
      </c>
    </row>
    <row r="7" spans="1:14" ht="15.75" customHeight="1">
      <c r="A7" s="2" t="s">
        <v>103</v>
      </c>
      <c r="B7" s="84">
        <v>254782</v>
      </c>
      <c r="C7" s="85">
        <v>2030</v>
      </c>
      <c r="D7" s="84">
        <v>38915</v>
      </c>
      <c r="E7" s="85">
        <v>310</v>
      </c>
      <c r="F7" s="85">
        <v>823</v>
      </c>
      <c r="G7" s="84">
        <v>5336</v>
      </c>
      <c r="H7" s="84">
        <v>13835</v>
      </c>
      <c r="I7" s="84">
        <v>18921</v>
      </c>
      <c r="J7" s="84">
        <v>215867</v>
      </c>
      <c r="K7" s="85">
        <v>1720</v>
      </c>
      <c r="L7" s="84">
        <v>29094</v>
      </c>
      <c r="M7" s="84">
        <v>143511</v>
      </c>
      <c r="N7" s="84">
        <v>43262</v>
      </c>
    </row>
    <row r="8" spans="1:14" ht="15.75" customHeight="1">
      <c r="A8" s="3" t="s">
        <v>107</v>
      </c>
      <c r="B8" s="86">
        <v>253444</v>
      </c>
      <c r="C8" s="87">
        <v>3240</v>
      </c>
      <c r="D8" s="86">
        <v>27909</v>
      </c>
      <c r="E8" s="87">
        <v>357</v>
      </c>
      <c r="F8" s="87">
        <v>373</v>
      </c>
      <c r="G8" s="86">
        <v>2917</v>
      </c>
      <c r="H8" s="86">
        <v>6416</v>
      </c>
      <c r="I8" s="86">
        <v>18203</v>
      </c>
      <c r="J8" s="86">
        <v>225535</v>
      </c>
      <c r="K8" s="87">
        <v>2890</v>
      </c>
      <c r="L8" s="86">
        <v>37583</v>
      </c>
      <c r="M8" s="86">
        <v>134730</v>
      </c>
      <c r="N8" s="86">
        <v>53222</v>
      </c>
    </row>
    <row r="9" spans="1:14" ht="15.75" customHeight="1">
      <c r="A9" s="2" t="s">
        <v>24</v>
      </c>
      <c r="B9" s="84">
        <v>239896</v>
      </c>
      <c r="C9" s="85">
        <v>2180</v>
      </c>
      <c r="D9" s="84">
        <v>38800</v>
      </c>
      <c r="E9" s="85">
        <v>352</v>
      </c>
      <c r="F9" s="85">
        <v>782</v>
      </c>
      <c r="G9" s="84">
        <v>3584</v>
      </c>
      <c r="H9" s="84">
        <v>4657</v>
      </c>
      <c r="I9" s="84">
        <v>29777</v>
      </c>
      <c r="J9" s="84">
        <v>201096</v>
      </c>
      <c r="K9" s="85">
        <v>1820</v>
      </c>
      <c r="L9" s="84">
        <v>24633</v>
      </c>
      <c r="M9" s="84">
        <v>148829</v>
      </c>
      <c r="N9" s="84">
        <v>27634</v>
      </c>
    </row>
    <row r="10" spans="1:14" ht="15.75" customHeight="1">
      <c r="A10" s="3" t="s">
        <v>77</v>
      </c>
      <c r="B10" s="86">
        <v>239204</v>
      </c>
      <c r="C10" s="87">
        <v>1850</v>
      </c>
      <c r="D10" s="86">
        <v>34534</v>
      </c>
      <c r="E10" s="87">
        <v>266</v>
      </c>
      <c r="F10" s="87">
        <v>861</v>
      </c>
      <c r="G10" s="86">
        <v>3256</v>
      </c>
      <c r="H10" s="86">
        <v>8230</v>
      </c>
      <c r="I10" s="86">
        <v>22187</v>
      </c>
      <c r="J10" s="86">
        <v>204670</v>
      </c>
      <c r="K10" s="87">
        <v>1580</v>
      </c>
      <c r="L10" s="86">
        <v>17896</v>
      </c>
      <c r="M10" s="86">
        <v>152449</v>
      </c>
      <c r="N10" s="86">
        <v>34325</v>
      </c>
    </row>
    <row r="11" spans="1:14" ht="15.75" customHeight="1">
      <c r="A11" s="2" t="s">
        <v>99</v>
      </c>
      <c r="B11" s="84">
        <v>233246</v>
      </c>
      <c r="C11" s="85">
        <v>1980</v>
      </c>
      <c r="D11" s="84">
        <v>33770</v>
      </c>
      <c r="E11" s="85">
        <v>287</v>
      </c>
      <c r="F11" s="85">
        <v>639</v>
      </c>
      <c r="G11" s="84">
        <v>5544</v>
      </c>
      <c r="H11" s="84">
        <v>5857</v>
      </c>
      <c r="I11" s="84">
        <v>21730</v>
      </c>
      <c r="J11" s="84">
        <v>199476</v>
      </c>
      <c r="K11" s="85">
        <v>1690</v>
      </c>
      <c r="L11" s="84">
        <v>27516</v>
      </c>
      <c r="M11" s="84">
        <v>140210</v>
      </c>
      <c r="N11" s="84">
        <v>31750</v>
      </c>
    </row>
    <row r="12" spans="1:14" ht="15.75" customHeight="1">
      <c r="A12" s="3" t="s">
        <v>124</v>
      </c>
      <c r="B12" s="86">
        <v>213083</v>
      </c>
      <c r="C12" s="87">
        <v>2990</v>
      </c>
      <c r="D12" s="86">
        <v>44769</v>
      </c>
      <c r="E12" s="87">
        <v>628</v>
      </c>
      <c r="F12" s="87">
        <v>703</v>
      </c>
      <c r="G12" s="86">
        <v>2678</v>
      </c>
      <c r="H12" s="86">
        <v>5095</v>
      </c>
      <c r="I12" s="86">
        <v>36293</v>
      </c>
      <c r="J12" s="86">
        <v>168314</v>
      </c>
      <c r="K12" s="87">
        <v>2360</v>
      </c>
      <c r="L12" s="86">
        <v>21145</v>
      </c>
      <c r="M12" s="86">
        <v>115002</v>
      </c>
      <c r="N12" s="86">
        <v>32167</v>
      </c>
    </row>
    <row r="13" spans="1:14" ht="15.75" customHeight="1">
      <c r="A13" s="2" t="s">
        <v>79</v>
      </c>
      <c r="B13" s="84">
        <v>201122</v>
      </c>
      <c r="C13" s="85">
        <v>2000</v>
      </c>
      <c r="D13" s="84">
        <v>45888</v>
      </c>
      <c r="E13" s="85">
        <v>457</v>
      </c>
      <c r="F13" s="85">
        <v>591</v>
      </c>
      <c r="G13" s="84">
        <v>5909</v>
      </c>
      <c r="H13" s="84">
        <v>3701</v>
      </c>
      <c r="I13" s="84">
        <v>35687</v>
      </c>
      <c r="J13" s="84">
        <v>155234</v>
      </c>
      <c r="K13" s="85">
        <v>1550</v>
      </c>
      <c r="L13" s="84">
        <v>20598</v>
      </c>
      <c r="M13" s="84">
        <v>106397</v>
      </c>
      <c r="N13" s="84">
        <v>28239</v>
      </c>
    </row>
    <row r="14" spans="1:14" ht="15.75" customHeight="1">
      <c r="A14" s="3" t="s">
        <v>71</v>
      </c>
      <c r="B14" s="86">
        <v>197069</v>
      </c>
      <c r="C14" s="87">
        <v>3350</v>
      </c>
      <c r="D14" s="86">
        <v>27859</v>
      </c>
      <c r="E14" s="87">
        <v>474</v>
      </c>
      <c r="F14" s="87">
        <v>314</v>
      </c>
      <c r="G14" s="86">
        <v>3453</v>
      </c>
      <c r="H14" s="86">
        <v>3793</v>
      </c>
      <c r="I14" s="86">
        <v>20299</v>
      </c>
      <c r="J14" s="86">
        <v>169210</v>
      </c>
      <c r="K14" s="87">
        <v>2880</v>
      </c>
      <c r="L14" s="86">
        <v>21079</v>
      </c>
      <c r="M14" s="86">
        <v>109817</v>
      </c>
      <c r="N14" s="86">
        <v>38314</v>
      </c>
    </row>
    <row r="15" spans="1:14" ht="15.75" customHeight="1">
      <c r="A15" s="2" t="s">
        <v>16</v>
      </c>
      <c r="B15" s="84">
        <v>165155</v>
      </c>
      <c r="C15" s="85">
        <v>1890</v>
      </c>
      <c r="D15" s="84">
        <v>20589</v>
      </c>
      <c r="E15" s="85">
        <v>236</v>
      </c>
      <c r="F15" s="85">
        <v>520</v>
      </c>
      <c r="G15" s="84">
        <v>2595</v>
      </c>
      <c r="H15" s="84">
        <v>3283</v>
      </c>
      <c r="I15" s="84">
        <v>14191</v>
      </c>
      <c r="J15" s="84">
        <v>144566</v>
      </c>
      <c r="K15" s="85">
        <v>1660</v>
      </c>
      <c r="L15" s="84">
        <v>10665</v>
      </c>
      <c r="M15" s="84">
        <v>118839</v>
      </c>
      <c r="N15" s="84">
        <v>15062</v>
      </c>
    </row>
    <row r="16" spans="1:14" ht="15.75" customHeight="1">
      <c r="A16" s="3" t="s">
        <v>114</v>
      </c>
      <c r="B16" s="86">
        <v>163915</v>
      </c>
      <c r="C16" s="87">
        <v>2210</v>
      </c>
      <c r="D16" s="86">
        <v>30383</v>
      </c>
      <c r="E16" s="87">
        <v>409</v>
      </c>
      <c r="F16" s="87">
        <v>442</v>
      </c>
      <c r="G16" s="86">
        <v>3013</v>
      </c>
      <c r="H16" s="86">
        <v>4504</v>
      </c>
      <c r="I16" s="86">
        <v>22424</v>
      </c>
      <c r="J16" s="86">
        <v>133532</v>
      </c>
      <c r="K16" s="87">
        <v>1800</v>
      </c>
      <c r="L16" s="86">
        <v>17462</v>
      </c>
      <c r="M16" s="86">
        <v>95603</v>
      </c>
      <c r="N16" s="86">
        <v>20467</v>
      </c>
    </row>
    <row r="17" spans="1:14" ht="15.75" customHeight="1">
      <c r="A17" s="2" t="s">
        <v>18</v>
      </c>
      <c r="B17" s="84">
        <v>161934</v>
      </c>
      <c r="C17" s="85">
        <v>1740</v>
      </c>
      <c r="D17" s="84">
        <v>20564</v>
      </c>
      <c r="E17" s="85">
        <v>221</v>
      </c>
      <c r="F17" s="85">
        <v>264</v>
      </c>
      <c r="G17" s="84">
        <v>1660</v>
      </c>
      <c r="H17" s="84">
        <v>4635</v>
      </c>
      <c r="I17" s="84">
        <v>14005</v>
      </c>
      <c r="J17" s="84">
        <v>141370</v>
      </c>
      <c r="K17" s="85">
        <v>1520</v>
      </c>
      <c r="L17" s="84">
        <v>14382</v>
      </c>
      <c r="M17" s="84">
        <v>109269</v>
      </c>
      <c r="N17" s="84">
        <v>17719</v>
      </c>
    </row>
    <row r="18" spans="1:14" ht="15.75" customHeight="1">
      <c r="A18" s="3" t="s">
        <v>90</v>
      </c>
      <c r="B18" s="86">
        <v>158243</v>
      </c>
      <c r="C18" s="87">
        <v>2550</v>
      </c>
      <c r="D18" s="86">
        <v>28419</v>
      </c>
      <c r="E18" s="87">
        <v>459</v>
      </c>
      <c r="F18" s="87">
        <v>564</v>
      </c>
      <c r="G18" s="86">
        <v>2877</v>
      </c>
      <c r="H18" s="86">
        <v>3280</v>
      </c>
      <c r="I18" s="86">
        <v>21698</v>
      </c>
      <c r="J18" s="86">
        <v>129824</v>
      </c>
      <c r="K18" s="87">
        <v>2100</v>
      </c>
      <c r="L18" s="86">
        <v>15563</v>
      </c>
      <c r="M18" s="86">
        <v>84604</v>
      </c>
      <c r="N18" s="86">
        <v>29657</v>
      </c>
    </row>
    <row r="19" spans="1:14" ht="15.75" customHeight="1">
      <c r="A19" s="2" t="s">
        <v>15</v>
      </c>
      <c r="B19" s="84">
        <v>154339</v>
      </c>
      <c r="C19" s="85">
        <v>2500</v>
      </c>
      <c r="D19" s="84">
        <v>26338</v>
      </c>
      <c r="E19" s="85">
        <v>426</v>
      </c>
      <c r="F19" s="85">
        <v>515</v>
      </c>
      <c r="G19" s="84">
        <v>1973</v>
      </c>
      <c r="H19" s="84">
        <v>8079</v>
      </c>
      <c r="I19" s="84">
        <v>15771</v>
      </c>
      <c r="J19" s="84">
        <v>128001</v>
      </c>
      <c r="K19" s="85">
        <v>2070</v>
      </c>
      <c r="L19" s="84">
        <v>11487</v>
      </c>
      <c r="M19" s="84">
        <v>82682</v>
      </c>
      <c r="N19" s="84">
        <v>33832</v>
      </c>
    </row>
    <row r="20" spans="1:14" ht="15.75" customHeight="1">
      <c r="A20" s="3" t="s">
        <v>128</v>
      </c>
      <c r="B20" s="86">
        <v>145363</v>
      </c>
      <c r="C20" s="87">
        <v>3180</v>
      </c>
      <c r="D20" s="86">
        <v>25065</v>
      </c>
      <c r="E20" s="87">
        <v>548</v>
      </c>
      <c r="F20" s="87">
        <v>663</v>
      </c>
      <c r="G20" s="86">
        <v>2157</v>
      </c>
      <c r="H20" s="86">
        <v>2436</v>
      </c>
      <c r="I20" s="86">
        <v>19809</v>
      </c>
      <c r="J20" s="86">
        <v>120298</v>
      </c>
      <c r="K20" s="87">
        <v>2630</v>
      </c>
      <c r="L20" s="86">
        <v>20443</v>
      </c>
      <c r="M20" s="86">
        <v>82592</v>
      </c>
      <c r="N20" s="86">
        <v>17263</v>
      </c>
    </row>
    <row r="21" spans="1:14" ht="15.75" customHeight="1">
      <c r="A21" s="2" t="s">
        <v>20</v>
      </c>
      <c r="B21" s="84">
        <v>143158</v>
      </c>
      <c r="C21" s="85">
        <v>2660</v>
      </c>
      <c r="D21" s="84">
        <v>25312</v>
      </c>
      <c r="E21" s="85">
        <v>471</v>
      </c>
      <c r="F21" s="85">
        <v>482</v>
      </c>
      <c r="G21" s="84">
        <v>1958</v>
      </c>
      <c r="H21" s="84">
        <v>2108</v>
      </c>
      <c r="I21" s="84">
        <v>20764</v>
      </c>
      <c r="J21" s="84">
        <v>117846</v>
      </c>
      <c r="K21" s="85">
        <v>2190</v>
      </c>
      <c r="L21" s="84">
        <v>17263</v>
      </c>
      <c r="M21" s="84">
        <v>86930</v>
      </c>
      <c r="N21" s="84">
        <v>13653</v>
      </c>
    </row>
    <row r="22" spans="1:14" ht="15.75" customHeight="1">
      <c r="A22" s="3" t="s">
        <v>93</v>
      </c>
      <c r="B22" s="86">
        <v>128699</v>
      </c>
      <c r="C22" s="87">
        <v>1880</v>
      </c>
      <c r="D22" s="86">
        <v>22794</v>
      </c>
      <c r="E22" s="87">
        <v>332</v>
      </c>
      <c r="F22" s="87">
        <v>386</v>
      </c>
      <c r="G22" s="86">
        <v>2338</v>
      </c>
      <c r="H22" s="86">
        <v>2773</v>
      </c>
      <c r="I22" s="86">
        <v>17297</v>
      </c>
      <c r="J22" s="86">
        <v>105905</v>
      </c>
      <c r="K22" s="87">
        <v>1540</v>
      </c>
      <c r="L22" s="86">
        <v>14979</v>
      </c>
      <c r="M22" s="86">
        <v>74753</v>
      </c>
      <c r="N22" s="86">
        <v>16173</v>
      </c>
    </row>
    <row r="23" spans="1:14" ht="15.75" customHeight="1">
      <c r="A23" s="2" t="s">
        <v>101</v>
      </c>
      <c r="B23" s="84">
        <v>123485</v>
      </c>
      <c r="C23" s="85">
        <v>2920</v>
      </c>
      <c r="D23" s="84">
        <v>13813</v>
      </c>
      <c r="E23" s="85">
        <v>326</v>
      </c>
      <c r="F23" s="85">
        <v>189</v>
      </c>
      <c r="G23" s="84">
        <v>1711</v>
      </c>
      <c r="H23" s="84">
        <v>2642</v>
      </c>
      <c r="I23" s="84">
        <v>9271</v>
      </c>
      <c r="J23" s="84">
        <v>109672</v>
      </c>
      <c r="K23" s="85">
        <v>2590</v>
      </c>
      <c r="L23" s="84">
        <v>14383</v>
      </c>
      <c r="M23" s="84">
        <v>77789</v>
      </c>
      <c r="N23" s="84">
        <v>17500</v>
      </c>
    </row>
    <row r="24" spans="1:14" ht="15.75" customHeight="1">
      <c r="A24" s="3" t="s">
        <v>57</v>
      </c>
      <c r="B24" s="86">
        <v>112666</v>
      </c>
      <c r="C24" s="87">
        <v>1960</v>
      </c>
      <c r="D24" s="86">
        <v>14984</v>
      </c>
      <c r="E24" s="87">
        <v>261</v>
      </c>
      <c r="F24" s="87">
        <v>180</v>
      </c>
      <c r="G24" s="86">
        <v>2043</v>
      </c>
      <c r="H24" s="86">
        <v>2782</v>
      </c>
      <c r="I24" s="86">
        <v>9979</v>
      </c>
      <c r="J24" s="86">
        <v>97682</v>
      </c>
      <c r="K24" s="87">
        <v>1700</v>
      </c>
      <c r="L24" s="86">
        <v>10523</v>
      </c>
      <c r="M24" s="86">
        <v>71839</v>
      </c>
      <c r="N24" s="86">
        <v>15320</v>
      </c>
    </row>
    <row r="25" spans="1:14" ht="15.75" customHeight="1">
      <c r="A25" s="2" t="s">
        <v>141</v>
      </c>
      <c r="B25" s="84">
        <v>107428</v>
      </c>
      <c r="C25" s="85">
        <v>2100</v>
      </c>
      <c r="D25" s="84">
        <v>20635</v>
      </c>
      <c r="E25" s="85">
        <v>404</v>
      </c>
      <c r="F25" s="85">
        <v>524</v>
      </c>
      <c r="G25" s="84">
        <v>1514</v>
      </c>
      <c r="H25" s="84">
        <v>1832</v>
      </c>
      <c r="I25" s="84">
        <v>16765</v>
      </c>
      <c r="J25" s="84">
        <v>86793</v>
      </c>
      <c r="K25" s="85">
        <v>1700</v>
      </c>
      <c r="L25" s="84">
        <v>13009</v>
      </c>
      <c r="M25" s="84">
        <v>63333</v>
      </c>
      <c r="N25" s="84">
        <v>10451</v>
      </c>
    </row>
    <row r="26" spans="1:14" ht="15.75" customHeight="1">
      <c r="A26" s="3" t="s">
        <v>136</v>
      </c>
      <c r="B26" s="86">
        <v>103867</v>
      </c>
      <c r="C26" s="87">
        <v>2560</v>
      </c>
      <c r="D26" s="86">
        <v>16770</v>
      </c>
      <c r="E26" s="87">
        <v>414</v>
      </c>
      <c r="F26" s="87">
        <v>247</v>
      </c>
      <c r="G26" s="86">
        <v>2376</v>
      </c>
      <c r="H26" s="86">
        <v>1510</v>
      </c>
      <c r="I26" s="86">
        <v>12637</v>
      </c>
      <c r="J26" s="86">
        <v>87097</v>
      </c>
      <c r="K26" s="87">
        <v>2150</v>
      </c>
      <c r="L26" s="86">
        <v>18586</v>
      </c>
      <c r="M26" s="86">
        <v>57816</v>
      </c>
      <c r="N26" s="86">
        <v>10695</v>
      </c>
    </row>
    <row r="27" spans="1:14" ht="15.75" customHeight="1">
      <c r="A27" s="2" t="s">
        <v>13</v>
      </c>
      <c r="B27" s="84">
        <v>99065</v>
      </c>
      <c r="C27" s="85">
        <v>1410</v>
      </c>
      <c r="D27" s="84">
        <v>21998</v>
      </c>
      <c r="E27" s="85">
        <v>314</v>
      </c>
      <c r="F27" s="85">
        <v>146</v>
      </c>
      <c r="G27" s="84">
        <v>1910</v>
      </c>
      <c r="H27" s="84">
        <v>2560</v>
      </c>
      <c r="I27" s="84">
        <v>17382</v>
      </c>
      <c r="J27" s="84">
        <v>77067</v>
      </c>
      <c r="K27" s="85">
        <v>1100</v>
      </c>
      <c r="L27" s="84">
        <v>9231</v>
      </c>
      <c r="M27" s="84">
        <v>59672</v>
      </c>
      <c r="N27" s="84">
        <v>8164</v>
      </c>
    </row>
    <row r="28" spans="1:14" ht="15.75" customHeight="1">
      <c r="A28" s="3" t="s">
        <v>112</v>
      </c>
      <c r="B28" s="86">
        <v>93709</v>
      </c>
      <c r="C28" s="87">
        <v>2930</v>
      </c>
      <c r="D28" s="86">
        <v>13313</v>
      </c>
      <c r="E28" s="87">
        <v>417</v>
      </c>
      <c r="F28" s="87">
        <v>218</v>
      </c>
      <c r="G28" s="86">
        <v>1582</v>
      </c>
      <c r="H28" s="86">
        <v>2291</v>
      </c>
      <c r="I28" s="86">
        <v>9222</v>
      </c>
      <c r="J28" s="86">
        <v>80396</v>
      </c>
      <c r="K28" s="87">
        <v>2520</v>
      </c>
      <c r="L28" s="86">
        <v>12797</v>
      </c>
      <c r="M28" s="86">
        <v>45902</v>
      </c>
      <c r="N28" s="86">
        <v>21697</v>
      </c>
    </row>
    <row r="29" spans="1:14" ht="15.75" customHeight="1">
      <c r="A29" s="2" t="s">
        <v>83</v>
      </c>
      <c r="B29" s="84">
        <v>88986</v>
      </c>
      <c r="C29" s="85">
        <v>1510</v>
      </c>
      <c r="D29" s="84">
        <v>17057</v>
      </c>
      <c r="E29" s="85">
        <v>289</v>
      </c>
      <c r="F29" s="85">
        <v>283</v>
      </c>
      <c r="G29" s="84">
        <v>2156</v>
      </c>
      <c r="H29" s="84">
        <v>2285</v>
      </c>
      <c r="I29" s="84">
        <v>12333</v>
      </c>
      <c r="J29" s="84">
        <v>71929</v>
      </c>
      <c r="K29" s="85">
        <v>1220</v>
      </c>
      <c r="L29" s="84">
        <v>7619</v>
      </c>
      <c r="M29" s="84">
        <v>54374</v>
      </c>
      <c r="N29" s="84">
        <v>9936</v>
      </c>
    </row>
    <row r="30" spans="1:14" ht="15.75" customHeight="1">
      <c r="A30" s="3" t="s">
        <v>130</v>
      </c>
      <c r="B30" s="86">
        <v>87394</v>
      </c>
      <c r="C30" s="87">
        <v>2850</v>
      </c>
      <c r="D30" s="86">
        <v>19016</v>
      </c>
      <c r="E30" s="87">
        <v>620</v>
      </c>
      <c r="F30" s="87">
        <v>289</v>
      </c>
      <c r="G30" s="86">
        <v>2219</v>
      </c>
      <c r="H30" s="86">
        <v>1154</v>
      </c>
      <c r="I30" s="86">
        <v>15354</v>
      </c>
      <c r="J30" s="86">
        <v>68378</v>
      </c>
      <c r="K30" s="87">
        <v>2230</v>
      </c>
      <c r="L30" s="86">
        <v>12518</v>
      </c>
      <c r="M30" s="86">
        <v>49166</v>
      </c>
      <c r="N30" s="86">
        <v>6694</v>
      </c>
    </row>
    <row r="31" spans="1:14" ht="15.75" customHeight="1">
      <c r="A31" s="2" t="s">
        <v>105</v>
      </c>
      <c r="B31" s="84">
        <v>80400</v>
      </c>
      <c r="C31" s="85">
        <v>1780</v>
      </c>
      <c r="D31" s="84">
        <v>10153</v>
      </c>
      <c r="E31" s="85">
        <v>224</v>
      </c>
      <c r="F31" s="85">
        <v>275</v>
      </c>
      <c r="G31" s="84">
        <v>1515</v>
      </c>
      <c r="H31" s="84">
        <v>1774</v>
      </c>
      <c r="I31" s="84">
        <v>6589</v>
      </c>
      <c r="J31" s="84">
        <v>70247</v>
      </c>
      <c r="K31" s="85">
        <v>1550</v>
      </c>
      <c r="L31" s="84">
        <v>10521</v>
      </c>
      <c r="M31" s="84">
        <v>46846</v>
      </c>
      <c r="N31" s="84">
        <v>12880</v>
      </c>
    </row>
    <row r="32" spans="1:14" ht="15.75" customHeight="1">
      <c r="A32" s="3" t="s">
        <v>117</v>
      </c>
      <c r="B32" s="86">
        <v>76896</v>
      </c>
      <c r="C32" s="87">
        <v>3640</v>
      </c>
      <c r="D32" s="86">
        <v>15844</v>
      </c>
      <c r="E32" s="87">
        <v>749</v>
      </c>
      <c r="F32" s="87">
        <v>244</v>
      </c>
      <c r="G32" s="86">
        <v>1114</v>
      </c>
      <c r="H32" s="86">
        <v>1542</v>
      </c>
      <c r="I32" s="86">
        <v>12944</v>
      </c>
      <c r="J32" s="86">
        <v>61052</v>
      </c>
      <c r="K32" s="87">
        <v>2890</v>
      </c>
      <c r="L32" s="86">
        <v>10950</v>
      </c>
      <c r="M32" s="86">
        <v>39117</v>
      </c>
      <c r="N32" s="86">
        <v>10985</v>
      </c>
    </row>
    <row r="33" spans="1:14" ht="15.75" customHeight="1">
      <c r="A33" s="2" t="s">
        <v>81</v>
      </c>
      <c r="B33" s="84">
        <v>74206</v>
      </c>
      <c r="C33" s="85">
        <v>2520</v>
      </c>
      <c r="D33" s="84">
        <v>12635</v>
      </c>
      <c r="E33" s="85">
        <v>430</v>
      </c>
      <c r="F33" s="85">
        <v>136</v>
      </c>
      <c r="G33" s="84">
        <v>1302</v>
      </c>
      <c r="H33" s="85">
        <v>920</v>
      </c>
      <c r="I33" s="84">
        <v>10277</v>
      </c>
      <c r="J33" s="84">
        <v>61571</v>
      </c>
      <c r="K33" s="85">
        <v>2090</v>
      </c>
      <c r="L33" s="84">
        <v>8622</v>
      </c>
      <c r="M33" s="84">
        <v>45906</v>
      </c>
      <c r="N33" s="84">
        <v>7043</v>
      </c>
    </row>
    <row r="34" spans="1:14" ht="15.75" customHeight="1">
      <c r="A34" s="3" t="s">
        <v>66</v>
      </c>
      <c r="B34" s="86">
        <v>63692</v>
      </c>
      <c r="C34" s="87">
        <v>1860</v>
      </c>
      <c r="D34" s="86">
        <v>7936</v>
      </c>
      <c r="E34" s="87">
        <v>232</v>
      </c>
      <c r="F34" s="87">
        <v>68</v>
      </c>
      <c r="G34" s="86">
        <v>1859</v>
      </c>
      <c r="H34" s="87">
        <v>901</v>
      </c>
      <c r="I34" s="86">
        <v>5108</v>
      </c>
      <c r="J34" s="86">
        <v>55756</v>
      </c>
      <c r="K34" s="87">
        <v>1630</v>
      </c>
      <c r="L34" s="86">
        <v>5798</v>
      </c>
      <c r="M34" s="86">
        <v>44906</v>
      </c>
      <c r="N34" s="86">
        <v>5052</v>
      </c>
    </row>
    <row r="35" spans="1:14" ht="15.75" customHeight="1">
      <c r="A35" s="2" t="s">
        <v>17</v>
      </c>
      <c r="B35" s="84">
        <v>61805</v>
      </c>
      <c r="C35" s="85">
        <v>1710</v>
      </c>
      <c r="D35" s="84">
        <v>5434</v>
      </c>
      <c r="E35" s="85">
        <v>150</v>
      </c>
      <c r="F35" s="85">
        <v>135</v>
      </c>
      <c r="G35" s="85">
        <v>728</v>
      </c>
      <c r="H35" s="84">
        <v>1569</v>
      </c>
      <c r="I35" s="84">
        <v>3002</v>
      </c>
      <c r="J35" s="84">
        <v>56371</v>
      </c>
      <c r="K35" s="85">
        <v>1560</v>
      </c>
      <c r="L35" s="84">
        <v>4623</v>
      </c>
      <c r="M35" s="84">
        <v>41187</v>
      </c>
      <c r="N35" s="84">
        <v>10561</v>
      </c>
    </row>
    <row r="36" spans="1:14" ht="15.75" customHeight="1">
      <c r="A36" s="3" t="s">
        <v>62</v>
      </c>
      <c r="B36" s="86">
        <v>55180</v>
      </c>
      <c r="C36" s="87">
        <v>1720</v>
      </c>
      <c r="D36" s="86">
        <v>8978</v>
      </c>
      <c r="E36" s="87">
        <v>280</v>
      </c>
      <c r="F36" s="87">
        <v>79</v>
      </c>
      <c r="G36" s="86">
        <v>1323</v>
      </c>
      <c r="H36" s="87">
        <v>715</v>
      </c>
      <c r="I36" s="86">
        <v>6861</v>
      </c>
      <c r="J36" s="86">
        <v>46202</v>
      </c>
      <c r="K36" s="87">
        <v>1440</v>
      </c>
      <c r="L36" s="86">
        <v>7010</v>
      </c>
      <c r="M36" s="86">
        <v>33893</v>
      </c>
      <c r="N36" s="86">
        <v>5299</v>
      </c>
    </row>
    <row r="37" spans="1:14" ht="15.75" customHeight="1">
      <c r="A37" s="2" t="s">
        <v>142</v>
      </c>
      <c r="B37" s="84">
        <v>52618</v>
      </c>
      <c r="C37" s="85">
        <v>1790</v>
      </c>
      <c r="D37" s="84">
        <v>5961</v>
      </c>
      <c r="E37" s="85">
        <v>203</v>
      </c>
      <c r="F37" s="85">
        <v>204</v>
      </c>
      <c r="G37" s="85">
        <v>958</v>
      </c>
      <c r="H37" s="85">
        <v>630</v>
      </c>
      <c r="I37" s="84">
        <v>4169</v>
      </c>
      <c r="J37" s="84">
        <v>46657</v>
      </c>
      <c r="K37" s="85">
        <v>1590</v>
      </c>
      <c r="L37" s="84">
        <v>8946</v>
      </c>
      <c r="M37" s="84">
        <v>32141</v>
      </c>
      <c r="N37" s="84">
        <v>5570</v>
      </c>
    </row>
    <row r="38" spans="1:14" ht="15.75" customHeight="1">
      <c r="A38" s="3" t="s">
        <v>88</v>
      </c>
      <c r="B38" s="86">
        <v>43639</v>
      </c>
      <c r="C38" s="87">
        <v>2210</v>
      </c>
      <c r="D38" s="86">
        <v>4545</v>
      </c>
      <c r="E38" s="87">
        <v>230</v>
      </c>
      <c r="F38" s="87">
        <v>64</v>
      </c>
      <c r="G38" s="87">
        <v>957</v>
      </c>
      <c r="H38" s="87">
        <v>520</v>
      </c>
      <c r="I38" s="86">
        <v>3004</v>
      </c>
      <c r="J38" s="86">
        <v>39094</v>
      </c>
      <c r="K38" s="87">
        <v>1980</v>
      </c>
      <c r="L38" s="86">
        <v>3353</v>
      </c>
      <c r="M38" s="86">
        <v>27490</v>
      </c>
      <c r="N38" s="86">
        <v>8251</v>
      </c>
    </row>
    <row r="39" spans="1:14" ht="15.75" customHeight="1">
      <c r="A39" s="2" t="s">
        <v>122</v>
      </c>
      <c r="B39" s="84">
        <v>37060</v>
      </c>
      <c r="C39" s="85">
        <v>5460</v>
      </c>
      <c r="D39" s="84">
        <v>7814</v>
      </c>
      <c r="E39" s="85">
        <v>1150</v>
      </c>
      <c r="F39" s="85">
        <v>265</v>
      </c>
      <c r="G39" s="85">
        <v>267</v>
      </c>
      <c r="H39" s="84">
        <v>4170</v>
      </c>
      <c r="I39" s="84">
        <v>3112</v>
      </c>
      <c r="J39" s="84">
        <v>29246</v>
      </c>
      <c r="K39" s="85">
        <v>4310</v>
      </c>
      <c r="L39" s="84">
        <v>1668</v>
      </c>
      <c r="M39" s="84">
        <v>20307</v>
      </c>
      <c r="N39" s="84">
        <v>7271</v>
      </c>
    </row>
    <row r="40" spans="1:14" ht="15.75" customHeight="1">
      <c r="A40" s="3" t="s">
        <v>75</v>
      </c>
      <c r="B40" s="86">
        <v>26647</v>
      </c>
      <c r="C40" s="87">
        <v>1860</v>
      </c>
      <c r="D40" s="86">
        <v>2685</v>
      </c>
      <c r="E40" s="87">
        <v>187</v>
      </c>
      <c r="F40" s="87">
        <v>20</v>
      </c>
      <c r="G40" s="87">
        <v>407</v>
      </c>
      <c r="H40" s="87">
        <v>638</v>
      </c>
      <c r="I40" s="86">
        <v>1620</v>
      </c>
      <c r="J40" s="86">
        <v>23962</v>
      </c>
      <c r="K40" s="87">
        <v>1670</v>
      </c>
      <c r="L40" s="86">
        <v>2524</v>
      </c>
      <c r="M40" s="86">
        <v>17083</v>
      </c>
      <c r="N40" s="86">
        <v>4355</v>
      </c>
    </row>
    <row r="41" spans="1:14" ht="15.75" customHeight="1">
      <c r="A41" s="2" t="s">
        <v>139</v>
      </c>
      <c r="B41" s="84">
        <v>25852</v>
      </c>
      <c r="C41" s="85">
        <v>1460</v>
      </c>
      <c r="D41" s="84">
        <v>4699</v>
      </c>
      <c r="E41" s="85">
        <v>265</v>
      </c>
      <c r="F41" s="85">
        <v>87</v>
      </c>
      <c r="G41" s="85">
        <v>823</v>
      </c>
      <c r="H41" s="85">
        <v>199</v>
      </c>
      <c r="I41" s="84">
        <v>3590</v>
      </c>
      <c r="J41" s="84">
        <v>21153</v>
      </c>
      <c r="K41" s="85">
        <v>1200</v>
      </c>
      <c r="L41" s="84">
        <v>3156</v>
      </c>
      <c r="M41" s="84">
        <v>16355</v>
      </c>
      <c r="N41" s="84">
        <v>1642</v>
      </c>
    </row>
    <row r="42" spans="1:14" ht="15.75" customHeight="1">
      <c r="A42" s="3" t="s">
        <v>86</v>
      </c>
      <c r="B42" s="86">
        <v>25779</v>
      </c>
      <c r="C42" s="87">
        <v>2280</v>
      </c>
      <c r="D42" s="86">
        <v>5007</v>
      </c>
      <c r="E42" s="87">
        <v>442</v>
      </c>
      <c r="F42" s="87">
        <v>32</v>
      </c>
      <c r="G42" s="87">
        <v>616</v>
      </c>
      <c r="H42" s="87">
        <v>273</v>
      </c>
      <c r="I42" s="86">
        <v>4086</v>
      </c>
      <c r="J42" s="86">
        <v>20772</v>
      </c>
      <c r="K42" s="87">
        <v>1830</v>
      </c>
      <c r="L42" s="86">
        <v>1929</v>
      </c>
      <c r="M42" s="86">
        <v>16678</v>
      </c>
      <c r="N42" s="86">
        <v>2165</v>
      </c>
    </row>
    <row r="43" spans="1:14" ht="15.75" customHeight="1">
      <c r="A43" s="2" t="s">
        <v>19</v>
      </c>
      <c r="B43" s="84">
        <v>23328</v>
      </c>
      <c r="C43" s="85">
        <v>2260</v>
      </c>
      <c r="D43" s="84">
        <v>3923</v>
      </c>
      <c r="E43" s="85">
        <v>380</v>
      </c>
      <c r="F43" s="85">
        <v>46</v>
      </c>
      <c r="G43" s="85">
        <v>194</v>
      </c>
      <c r="H43" s="85">
        <v>535</v>
      </c>
      <c r="I43" s="84">
        <v>3148</v>
      </c>
      <c r="J43" s="84">
        <v>19405</v>
      </c>
      <c r="K43" s="85">
        <v>1880</v>
      </c>
      <c r="L43" s="84">
        <v>1823</v>
      </c>
      <c r="M43" s="84">
        <v>15075</v>
      </c>
      <c r="N43" s="84">
        <v>2507</v>
      </c>
    </row>
    <row r="44" spans="1:14" ht="15.75" customHeight="1">
      <c r="A44" s="3" t="s">
        <v>95</v>
      </c>
      <c r="B44" s="86">
        <v>20502</v>
      </c>
      <c r="C44" s="87">
        <v>1040</v>
      </c>
      <c r="D44" s="86">
        <v>4598</v>
      </c>
      <c r="E44" s="87">
        <v>234</v>
      </c>
      <c r="F44" s="87">
        <v>46</v>
      </c>
      <c r="G44" s="87">
        <v>843</v>
      </c>
      <c r="H44" s="87">
        <v>186</v>
      </c>
      <c r="I44" s="86">
        <v>3523</v>
      </c>
      <c r="J44" s="86">
        <v>15904</v>
      </c>
      <c r="K44" s="87">
        <v>809</v>
      </c>
      <c r="L44" s="86">
        <v>2767</v>
      </c>
      <c r="M44" s="86">
        <v>11635</v>
      </c>
      <c r="N44" s="86">
        <v>1502</v>
      </c>
    </row>
    <row r="45" spans="1:14" ht="13.5">
      <c r="A45" s="2" t="s">
        <v>134</v>
      </c>
      <c r="B45" s="84">
        <v>19096</v>
      </c>
      <c r="C45" s="85">
        <v>2600</v>
      </c>
      <c r="D45" s="84">
        <v>5327</v>
      </c>
      <c r="E45" s="85">
        <v>726</v>
      </c>
      <c r="F45" s="85">
        <v>62</v>
      </c>
      <c r="G45" s="85">
        <v>868</v>
      </c>
      <c r="H45" s="85">
        <v>568</v>
      </c>
      <c r="I45" s="84">
        <v>3829</v>
      </c>
      <c r="J45" s="84">
        <v>13769</v>
      </c>
      <c r="K45" s="85">
        <v>1880</v>
      </c>
      <c r="L45" s="84">
        <v>1830</v>
      </c>
      <c r="M45" s="84">
        <v>9959</v>
      </c>
      <c r="N45" s="84">
        <v>1980</v>
      </c>
    </row>
    <row r="46" spans="1:14" ht="13.5">
      <c r="A46" s="3" t="s">
        <v>60</v>
      </c>
      <c r="B46" s="86">
        <v>18093</v>
      </c>
      <c r="C46" s="87">
        <v>1970</v>
      </c>
      <c r="D46" s="86">
        <v>3215</v>
      </c>
      <c r="E46" s="87">
        <v>350</v>
      </c>
      <c r="F46" s="87">
        <v>27</v>
      </c>
      <c r="G46" s="87">
        <v>462</v>
      </c>
      <c r="H46" s="87">
        <v>188</v>
      </c>
      <c r="I46" s="86">
        <v>2538</v>
      </c>
      <c r="J46" s="86">
        <v>14878</v>
      </c>
      <c r="K46" s="87">
        <v>1620</v>
      </c>
      <c r="L46" s="86">
        <v>2042</v>
      </c>
      <c r="M46" s="86">
        <v>10585</v>
      </c>
      <c r="N46" s="86">
        <v>2251</v>
      </c>
    </row>
    <row r="47" spans="1:14" ht="13.5">
      <c r="A47" s="2" t="s">
        <v>73</v>
      </c>
      <c r="B47" s="84">
        <v>17313</v>
      </c>
      <c r="C47" s="85">
        <v>2210</v>
      </c>
      <c r="D47" s="84">
        <v>2096</v>
      </c>
      <c r="E47" s="85">
        <v>267</v>
      </c>
      <c r="F47" s="85">
        <v>26</v>
      </c>
      <c r="G47" s="85">
        <v>392</v>
      </c>
      <c r="H47" s="85">
        <v>203</v>
      </c>
      <c r="I47" s="84">
        <v>1475</v>
      </c>
      <c r="J47" s="84">
        <v>15217</v>
      </c>
      <c r="K47" s="85">
        <v>1940</v>
      </c>
      <c r="L47" s="84">
        <v>2509</v>
      </c>
      <c r="M47" s="84">
        <v>10982</v>
      </c>
      <c r="N47" s="84">
        <v>1726</v>
      </c>
    </row>
    <row r="48" spans="1:14" ht="13.5">
      <c r="A48" s="3" t="s">
        <v>14</v>
      </c>
      <c r="B48" s="86">
        <v>17070</v>
      </c>
      <c r="C48" s="87">
        <v>1220</v>
      </c>
      <c r="D48" s="86">
        <v>1430</v>
      </c>
      <c r="E48" s="87">
        <v>102</v>
      </c>
      <c r="F48" s="87">
        <v>60</v>
      </c>
      <c r="G48" s="87">
        <v>423</v>
      </c>
      <c r="H48" s="87">
        <v>163</v>
      </c>
      <c r="I48" s="87">
        <v>784</v>
      </c>
      <c r="J48" s="86">
        <v>15640</v>
      </c>
      <c r="K48" s="87">
        <v>1120</v>
      </c>
      <c r="L48" s="86">
        <v>1538</v>
      </c>
      <c r="M48" s="86">
        <v>13000</v>
      </c>
      <c r="N48" s="86">
        <v>1102</v>
      </c>
    </row>
    <row r="49" spans="1:14" ht="13.5">
      <c r="A49" s="2" t="s">
        <v>11</v>
      </c>
      <c r="B49" s="84">
        <v>14124</v>
      </c>
      <c r="C49" s="85">
        <v>1290</v>
      </c>
      <c r="D49" s="84">
        <v>1839</v>
      </c>
      <c r="E49" s="85">
        <v>168</v>
      </c>
      <c r="F49" s="85">
        <v>28</v>
      </c>
      <c r="G49" s="85">
        <v>402</v>
      </c>
      <c r="H49" s="85">
        <v>241</v>
      </c>
      <c r="I49" s="84">
        <v>1168</v>
      </c>
      <c r="J49" s="84">
        <v>12285</v>
      </c>
      <c r="K49" s="85">
        <v>1120</v>
      </c>
      <c r="L49" s="84">
        <v>1297</v>
      </c>
      <c r="M49" s="84">
        <v>9452</v>
      </c>
      <c r="N49" s="84">
        <v>1536</v>
      </c>
    </row>
    <row r="50" spans="1:14" ht="13.5">
      <c r="A50" s="3" t="s">
        <v>12</v>
      </c>
      <c r="B50" s="86">
        <v>13966</v>
      </c>
      <c r="C50" s="87">
        <v>996</v>
      </c>
      <c r="D50" s="86">
        <v>1503</v>
      </c>
      <c r="E50" s="87">
        <v>107</v>
      </c>
      <c r="F50" s="87">
        <v>26</v>
      </c>
      <c r="G50" s="87">
        <v>499</v>
      </c>
      <c r="H50" s="87">
        <v>225</v>
      </c>
      <c r="I50" s="87">
        <v>753</v>
      </c>
      <c r="J50" s="86">
        <v>12463</v>
      </c>
      <c r="K50" s="87">
        <v>889</v>
      </c>
      <c r="L50" s="87">
        <v>779</v>
      </c>
      <c r="M50" s="86">
        <v>10848</v>
      </c>
      <c r="N50" s="87">
        <v>836</v>
      </c>
    </row>
    <row r="51" spans="1:14" ht="13.5">
      <c r="A51" s="2" t="s">
        <v>68</v>
      </c>
      <c r="B51" s="84">
        <v>12977</v>
      </c>
      <c r="C51" s="85">
        <v>2000</v>
      </c>
      <c r="D51" s="84">
        <v>1362</v>
      </c>
      <c r="E51" s="85">
        <v>210</v>
      </c>
      <c r="F51" s="85">
        <v>16</v>
      </c>
      <c r="G51" s="85">
        <v>198</v>
      </c>
      <c r="H51" s="85">
        <v>94</v>
      </c>
      <c r="I51" s="84">
        <v>1054</v>
      </c>
      <c r="J51" s="84">
        <v>11615</v>
      </c>
      <c r="K51" s="85">
        <v>1790</v>
      </c>
      <c r="L51" s="85">
        <v>898</v>
      </c>
      <c r="M51" s="84">
        <v>10124</v>
      </c>
      <c r="N51" s="85">
        <v>593</v>
      </c>
    </row>
    <row r="52" spans="1:14" ht="13.5">
      <c r="A52" s="4" t="s">
        <v>119</v>
      </c>
      <c r="B52" s="88">
        <v>9701</v>
      </c>
      <c r="C52" s="89">
        <v>1660</v>
      </c>
      <c r="D52" s="88">
        <v>1116</v>
      </c>
      <c r="E52" s="89">
        <v>191</v>
      </c>
      <c r="F52" s="89">
        <v>18</v>
      </c>
      <c r="G52" s="89">
        <v>314</v>
      </c>
      <c r="H52" s="89">
        <v>67</v>
      </c>
      <c r="I52" s="89">
        <v>717</v>
      </c>
      <c r="J52" s="88">
        <v>8585</v>
      </c>
      <c r="K52" s="90"/>
      <c r="L52" s="90"/>
      <c r="M52" s="90"/>
      <c r="N52" s="9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Dashboard">
                <anchor moveWithCells="1">
                  <from>
                    <xdr:col>14</xdr:col>
                    <xdr:colOff>404813</xdr:colOff>
                    <xdr:row>2</xdr:row>
                    <xdr:rowOff>0</xdr:rowOff>
                  </from>
                  <to>
                    <xdr:col>15</xdr:col>
                    <xdr:colOff>847725</xdr:colOff>
                    <xdr:row>5</xdr:row>
                    <xdr:rowOff>28575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Y52"/>
  <sheetViews>
    <sheetView workbookViewId="0">
      <pane ySplit="1" topLeftCell="A2" activePane="bottomLeft" state="frozen"/>
      <selection pane="bottomLeft" activeCell="J9" sqref="J9"/>
    </sheetView>
  </sheetViews>
  <sheetFormatPr defaultColWidth="12.46484375" defaultRowHeight="15.75" customHeight="1"/>
  <cols>
    <col min="1" max="1" width="21.1328125" style="75" bestFit="1" customWidth="1"/>
    <col min="2" max="2" width="19.46484375" style="99" customWidth="1"/>
    <col min="3" max="3" width="21.1328125" style="99" customWidth="1"/>
    <col min="4" max="4" width="20.1328125" style="99" customWidth="1"/>
    <col min="5" max="5" width="19.46484375" style="99" customWidth="1"/>
    <col min="6" max="6" width="25" style="99" customWidth="1"/>
    <col min="7" max="7" width="18.6640625" style="99" customWidth="1"/>
    <col min="8" max="8" width="17.46484375" style="99" customWidth="1"/>
    <col min="9" max="16384" width="12.46484375" style="75"/>
  </cols>
  <sheetData>
    <row r="1" spans="1:25" s="96" customFormat="1" ht="15.75" customHeight="1">
      <c r="A1" s="92" t="s">
        <v>9</v>
      </c>
      <c r="B1" s="93" t="s">
        <v>176</v>
      </c>
      <c r="C1" s="93" t="s">
        <v>177</v>
      </c>
      <c r="D1" s="93" t="s">
        <v>178</v>
      </c>
      <c r="E1" s="93" t="s">
        <v>179</v>
      </c>
      <c r="F1" s="93" t="s">
        <v>180</v>
      </c>
      <c r="G1" s="93" t="s">
        <v>181</v>
      </c>
      <c r="H1" s="94" t="s">
        <v>182</v>
      </c>
      <c r="I1" s="95"/>
      <c r="J1" s="95"/>
      <c r="K1" s="95"/>
      <c r="L1" s="95"/>
      <c r="M1" s="95"/>
      <c r="N1" s="95"/>
      <c r="O1" s="95"/>
      <c r="P1" s="95"/>
      <c r="Q1" s="95"/>
      <c r="R1" s="95"/>
      <c r="S1" s="95"/>
      <c r="T1" s="95"/>
      <c r="U1" s="95"/>
      <c r="V1" s="95"/>
      <c r="W1" s="95"/>
      <c r="X1" s="95"/>
      <c r="Y1" s="95"/>
    </row>
    <row r="2" spans="1:25" ht="15.75" customHeight="1">
      <c r="A2" s="97" t="s">
        <v>75</v>
      </c>
      <c r="B2" s="98">
        <v>186.9</v>
      </c>
      <c r="C2" s="98">
        <v>130.4</v>
      </c>
      <c r="D2" s="98">
        <v>310</v>
      </c>
      <c r="E2" s="98">
        <v>198</v>
      </c>
      <c r="F2" s="98">
        <v>133.30000000000001</v>
      </c>
      <c r="G2" s="98">
        <v>121.1</v>
      </c>
      <c r="H2" s="98">
        <v>130.5</v>
      </c>
    </row>
    <row r="3" spans="1:25" ht="15.75" customHeight="1">
      <c r="A3" s="97" t="s">
        <v>13</v>
      </c>
      <c r="B3" s="98">
        <v>145.9</v>
      </c>
      <c r="C3" s="98">
        <v>104.4</v>
      </c>
      <c r="D3" s="98">
        <v>218.8</v>
      </c>
      <c r="E3" s="98">
        <v>150</v>
      </c>
      <c r="F3" s="98">
        <v>109.5</v>
      </c>
      <c r="G3" s="98">
        <v>125.7</v>
      </c>
      <c r="H3" s="98">
        <v>115.3</v>
      </c>
    </row>
    <row r="4" spans="1:25" ht="15.75" customHeight="1">
      <c r="A4" s="97" t="s">
        <v>110</v>
      </c>
      <c r="B4" s="98">
        <v>144.80000000000001</v>
      </c>
      <c r="C4" s="98">
        <v>111.7</v>
      </c>
      <c r="D4" s="98">
        <v>208.7</v>
      </c>
      <c r="E4" s="98">
        <v>139.80000000000001</v>
      </c>
      <c r="F4" s="98">
        <v>136.69999999999999</v>
      </c>
      <c r="G4" s="98">
        <v>107.7</v>
      </c>
      <c r="H4" s="98">
        <v>115.3</v>
      </c>
    </row>
    <row r="5" spans="1:25" ht="15.75" customHeight="1">
      <c r="A5" s="97" t="s">
        <v>122</v>
      </c>
      <c r="B5" s="98">
        <v>141.9</v>
      </c>
      <c r="C5" s="98">
        <v>105.8</v>
      </c>
      <c r="D5" s="98">
        <v>222.4</v>
      </c>
      <c r="E5" s="98">
        <v>102.6</v>
      </c>
      <c r="F5" s="98">
        <v>107.7</v>
      </c>
      <c r="G5" s="98">
        <v>117.4</v>
      </c>
      <c r="H5" s="98">
        <v>113.3</v>
      </c>
    </row>
    <row r="6" spans="1:25" ht="15.75" customHeight="1">
      <c r="A6" s="97" t="s">
        <v>134</v>
      </c>
      <c r="B6" s="98">
        <v>123.8</v>
      </c>
      <c r="C6" s="98">
        <v>127.1</v>
      </c>
      <c r="D6" s="98">
        <v>118</v>
      </c>
      <c r="E6" s="98">
        <v>152.80000000000001</v>
      </c>
      <c r="F6" s="98">
        <v>114.3</v>
      </c>
      <c r="G6" s="98">
        <v>150</v>
      </c>
      <c r="H6" s="98">
        <v>118.9</v>
      </c>
    </row>
    <row r="7" spans="1:25" ht="15.75" customHeight="1">
      <c r="A7" s="97" t="s">
        <v>21</v>
      </c>
      <c r="B7" s="98">
        <v>123.3</v>
      </c>
      <c r="C7" s="98">
        <v>103.9</v>
      </c>
      <c r="D7" s="98">
        <v>168</v>
      </c>
      <c r="E7" s="98">
        <v>99.7</v>
      </c>
      <c r="F7" s="98">
        <v>106.8</v>
      </c>
      <c r="G7" s="98">
        <v>108.9</v>
      </c>
      <c r="H7" s="98">
        <v>106.9</v>
      </c>
    </row>
    <row r="8" spans="1:25" ht="15.75" customHeight="1">
      <c r="A8" s="97" t="s">
        <v>15</v>
      </c>
      <c r="B8" s="98">
        <v>115.3</v>
      </c>
      <c r="C8" s="98">
        <v>107.1</v>
      </c>
      <c r="D8" s="98">
        <v>135.80000000000001</v>
      </c>
      <c r="E8" s="98">
        <v>110.3</v>
      </c>
      <c r="F8" s="98">
        <v>101.7</v>
      </c>
      <c r="G8" s="98">
        <v>100.9</v>
      </c>
      <c r="H8" s="98">
        <v>108.9</v>
      </c>
    </row>
    <row r="9" spans="1:25" ht="15.75" customHeight="1">
      <c r="A9" s="97" t="s">
        <v>18</v>
      </c>
      <c r="B9" s="98">
        <v>114.6</v>
      </c>
      <c r="C9" s="98">
        <v>104.2</v>
      </c>
      <c r="D9" s="98">
        <v>136.9</v>
      </c>
      <c r="E9" s="98">
        <v>100.6</v>
      </c>
      <c r="F9" s="98">
        <v>105.6</v>
      </c>
      <c r="G9" s="98">
        <v>107.5</v>
      </c>
      <c r="H9" s="98">
        <v>107.5</v>
      </c>
    </row>
    <row r="10" spans="1:25" ht="15.75" customHeight="1">
      <c r="A10" s="97" t="s">
        <v>68</v>
      </c>
      <c r="B10" s="98">
        <v>114.4</v>
      </c>
      <c r="C10" s="98">
        <v>106.2</v>
      </c>
      <c r="D10" s="98">
        <v>129.69999999999999</v>
      </c>
      <c r="E10" s="98">
        <v>112.6</v>
      </c>
      <c r="F10" s="98">
        <v>95.8</v>
      </c>
      <c r="G10" s="98">
        <v>111.4</v>
      </c>
      <c r="H10" s="98">
        <v>111.1</v>
      </c>
    </row>
    <row r="11" spans="1:25" ht="15.75" customHeight="1">
      <c r="A11" s="97" t="s">
        <v>107</v>
      </c>
      <c r="B11" s="98">
        <v>114.2</v>
      </c>
      <c r="C11" s="98">
        <v>105.6</v>
      </c>
      <c r="D11" s="98">
        <v>126.9</v>
      </c>
      <c r="E11" s="98">
        <v>92.6</v>
      </c>
      <c r="F11" s="98">
        <v>123.7</v>
      </c>
      <c r="G11" s="98">
        <v>118.1</v>
      </c>
      <c r="H11" s="98">
        <v>109.9</v>
      </c>
    </row>
    <row r="12" spans="1:25" ht="15.75" customHeight="1">
      <c r="A12" s="97" t="s">
        <v>12</v>
      </c>
      <c r="B12" s="98">
        <v>112.6</v>
      </c>
      <c r="C12" s="98">
        <v>99.9</v>
      </c>
      <c r="D12" s="98">
        <v>117.5</v>
      </c>
      <c r="E12" s="98">
        <v>112.4</v>
      </c>
      <c r="F12" s="98">
        <v>105.6</v>
      </c>
      <c r="G12" s="98">
        <v>104.1</v>
      </c>
      <c r="H12" s="98">
        <v>117.1</v>
      </c>
    </row>
    <row r="13" spans="1:25" ht="15.75" customHeight="1">
      <c r="A13" s="97" t="s">
        <v>17</v>
      </c>
      <c r="B13" s="98">
        <v>112.3</v>
      </c>
      <c r="C13" s="98">
        <v>102.6</v>
      </c>
      <c r="D13" s="98">
        <v>117.2</v>
      </c>
      <c r="E13" s="98">
        <v>135.9</v>
      </c>
      <c r="F13" s="98">
        <v>104.8</v>
      </c>
      <c r="G13" s="98">
        <v>109.9</v>
      </c>
      <c r="H13" s="98">
        <v>109</v>
      </c>
    </row>
    <row r="14" spans="1:25" ht="15.75" customHeight="1">
      <c r="A14" s="97" t="s">
        <v>11</v>
      </c>
      <c r="B14" s="98">
        <v>112.2</v>
      </c>
      <c r="C14" s="98">
        <v>101.9</v>
      </c>
      <c r="D14" s="98">
        <v>113.4</v>
      </c>
      <c r="E14" s="98">
        <v>140</v>
      </c>
      <c r="F14" s="98">
        <v>96.3</v>
      </c>
      <c r="G14" s="98">
        <v>104.6</v>
      </c>
      <c r="H14" s="98">
        <v>114.2</v>
      </c>
    </row>
    <row r="15" spans="1:25" ht="15.75" customHeight="1">
      <c r="A15" s="97" t="s">
        <v>14</v>
      </c>
      <c r="B15" s="98">
        <v>112.1</v>
      </c>
      <c r="C15" s="98">
        <v>101.5</v>
      </c>
      <c r="D15" s="98">
        <v>128.69999999999999</v>
      </c>
      <c r="E15" s="98">
        <v>111</v>
      </c>
      <c r="F15" s="98">
        <v>107.5</v>
      </c>
      <c r="G15" s="98">
        <v>113.7</v>
      </c>
      <c r="H15" s="98">
        <v>104.5</v>
      </c>
    </row>
    <row r="16" spans="1:25" ht="15.75" customHeight="1">
      <c r="A16" s="97" t="s">
        <v>101</v>
      </c>
      <c r="B16" s="98">
        <v>112</v>
      </c>
      <c r="C16" s="98">
        <v>106.2</v>
      </c>
      <c r="D16" s="98">
        <v>133.30000000000001</v>
      </c>
      <c r="E16" s="98">
        <v>89.7</v>
      </c>
      <c r="F16" s="98">
        <v>118.6</v>
      </c>
      <c r="G16" s="98">
        <v>109.7</v>
      </c>
      <c r="H16" s="98">
        <v>101.1</v>
      </c>
    </row>
    <row r="17" spans="1:8" ht="15.75" customHeight="1">
      <c r="A17" s="97" t="s">
        <v>114</v>
      </c>
      <c r="B17" s="98">
        <v>111.5</v>
      </c>
      <c r="C17" s="98">
        <v>101.1</v>
      </c>
      <c r="D17" s="98">
        <v>131.9</v>
      </c>
      <c r="E17" s="98">
        <v>105.3</v>
      </c>
      <c r="F17" s="98">
        <v>104.4</v>
      </c>
      <c r="G17" s="98">
        <v>92.7</v>
      </c>
      <c r="H17" s="98">
        <v>105.2</v>
      </c>
    </row>
    <row r="18" spans="1:8" ht="15.75" customHeight="1">
      <c r="A18" s="97" t="s">
        <v>66</v>
      </c>
      <c r="B18" s="98">
        <v>104.9</v>
      </c>
      <c r="C18" s="98">
        <v>97.7</v>
      </c>
      <c r="D18" s="98">
        <v>116.8</v>
      </c>
      <c r="E18" s="98">
        <v>96.2</v>
      </c>
      <c r="F18" s="98">
        <v>108.1</v>
      </c>
      <c r="G18" s="98">
        <v>88.4</v>
      </c>
      <c r="H18" s="98">
        <v>101.8</v>
      </c>
    </row>
    <row r="19" spans="1:8" ht="15.75" customHeight="1">
      <c r="A19" s="97" t="s">
        <v>23</v>
      </c>
      <c r="B19" s="98">
        <v>102.8</v>
      </c>
      <c r="C19" s="98">
        <v>105.2</v>
      </c>
      <c r="D19" s="98">
        <v>108.1</v>
      </c>
      <c r="E19" s="98">
        <v>101.9</v>
      </c>
      <c r="F19" s="98">
        <v>98.8</v>
      </c>
      <c r="G19" s="98">
        <v>99</v>
      </c>
      <c r="H19" s="98">
        <v>99</v>
      </c>
    </row>
    <row r="20" spans="1:8" ht="15.75" customHeight="1">
      <c r="A20" s="97" t="s">
        <v>71</v>
      </c>
      <c r="B20" s="98">
        <v>102</v>
      </c>
      <c r="C20" s="98">
        <v>100.7</v>
      </c>
      <c r="D20" s="98">
        <v>107.7</v>
      </c>
      <c r="E20" s="98">
        <v>89.3</v>
      </c>
      <c r="F20" s="98">
        <v>94.8</v>
      </c>
      <c r="G20" s="98">
        <v>104.3</v>
      </c>
      <c r="H20" s="98">
        <v>102.6</v>
      </c>
    </row>
    <row r="21" spans="1:8" ht="15.75" customHeight="1">
      <c r="A21" s="97" t="s">
        <v>95</v>
      </c>
      <c r="B21" s="98">
        <v>102</v>
      </c>
      <c r="C21" s="98">
        <v>103.6</v>
      </c>
      <c r="D21" s="98">
        <v>100.9</v>
      </c>
      <c r="E21" s="98">
        <v>77.900000000000006</v>
      </c>
      <c r="F21" s="98">
        <v>109.6</v>
      </c>
      <c r="G21" s="98">
        <v>98.5</v>
      </c>
      <c r="H21" s="98">
        <v>106.7</v>
      </c>
    </row>
    <row r="22" spans="1:8" ht="15.75" customHeight="1">
      <c r="A22" s="97" t="s">
        <v>112</v>
      </c>
      <c r="B22" s="98">
        <v>101.3</v>
      </c>
      <c r="C22" s="98">
        <v>103.2</v>
      </c>
      <c r="D22" s="98">
        <v>107.7</v>
      </c>
      <c r="E22" s="98">
        <v>103.9</v>
      </c>
      <c r="F22" s="98">
        <v>119</v>
      </c>
      <c r="G22" s="98">
        <v>87.1</v>
      </c>
      <c r="H22" s="98">
        <v>92</v>
      </c>
    </row>
    <row r="23" spans="1:8" ht="15.75" customHeight="1">
      <c r="A23" s="97" t="s">
        <v>19</v>
      </c>
      <c r="B23" s="98">
        <v>100.8</v>
      </c>
      <c r="C23" s="98">
        <v>102.5</v>
      </c>
      <c r="D23" s="98">
        <v>97.4</v>
      </c>
      <c r="E23" s="98">
        <v>98.2</v>
      </c>
      <c r="F23" s="98">
        <v>102.2</v>
      </c>
      <c r="G23" s="98">
        <v>102.4</v>
      </c>
      <c r="H23" s="98">
        <v>102.9</v>
      </c>
    </row>
    <row r="24" spans="1:8" ht="15.75" customHeight="1">
      <c r="A24" s="97" t="s">
        <v>16</v>
      </c>
      <c r="B24" s="98">
        <v>100.7</v>
      </c>
      <c r="C24" s="98">
        <v>99.6</v>
      </c>
      <c r="D24" s="98">
        <v>104.5</v>
      </c>
      <c r="E24" s="98">
        <v>99.8</v>
      </c>
      <c r="F24" s="98">
        <v>94.9</v>
      </c>
      <c r="G24" s="98">
        <v>105</v>
      </c>
      <c r="H24" s="98">
        <v>99.3</v>
      </c>
    </row>
    <row r="25" spans="1:8" ht="15.75" customHeight="1">
      <c r="A25" s="97" t="s">
        <v>22</v>
      </c>
      <c r="B25" s="98">
        <v>97.8</v>
      </c>
      <c r="C25" s="98">
        <v>98.4</v>
      </c>
      <c r="D25" s="98">
        <v>93.3</v>
      </c>
      <c r="E25" s="98">
        <v>97.1</v>
      </c>
      <c r="F25" s="98">
        <v>93.6</v>
      </c>
      <c r="G25" s="98">
        <v>104.7</v>
      </c>
      <c r="H25" s="98">
        <v>101.6</v>
      </c>
    </row>
    <row r="26" spans="1:8" ht="15.75" customHeight="1">
      <c r="A26" s="97" t="s">
        <v>83</v>
      </c>
      <c r="B26" s="98">
        <v>97</v>
      </c>
      <c r="C26" s="98">
        <v>98</v>
      </c>
      <c r="D26" s="98">
        <v>91.6</v>
      </c>
      <c r="E26" s="98">
        <v>92.6</v>
      </c>
      <c r="F26" s="98">
        <v>98.3</v>
      </c>
      <c r="G26" s="98">
        <v>106.4</v>
      </c>
      <c r="H26" s="98">
        <v>100.3</v>
      </c>
    </row>
    <row r="27" spans="1:8" ht="15.75" customHeight="1">
      <c r="A27" s="97" t="s">
        <v>20</v>
      </c>
      <c r="B27" s="98">
        <v>95.9</v>
      </c>
      <c r="C27" s="98">
        <v>99.3</v>
      </c>
      <c r="D27" s="98">
        <v>86.7</v>
      </c>
      <c r="E27" s="98">
        <v>102.3</v>
      </c>
      <c r="F27" s="98">
        <v>94.7</v>
      </c>
      <c r="G27" s="98">
        <v>93</v>
      </c>
      <c r="H27" s="98">
        <v>101.1</v>
      </c>
    </row>
    <row r="28" spans="1:8" ht="15.75" customHeight="1">
      <c r="A28" s="97" t="s">
        <v>119</v>
      </c>
      <c r="B28" s="98">
        <v>95.5</v>
      </c>
      <c r="C28" s="98">
        <v>100.3</v>
      </c>
      <c r="D28" s="98">
        <v>88.6</v>
      </c>
      <c r="E28" s="98">
        <v>89.1</v>
      </c>
      <c r="F28" s="98">
        <v>92.4</v>
      </c>
      <c r="G28" s="98">
        <v>104.3</v>
      </c>
      <c r="H28" s="98">
        <v>100.2</v>
      </c>
    </row>
    <row r="29" spans="1:8" ht="15.75" customHeight="1">
      <c r="A29" s="97" t="s">
        <v>57</v>
      </c>
      <c r="B29" s="98">
        <v>95.1</v>
      </c>
      <c r="C29" s="98">
        <v>102.1</v>
      </c>
      <c r="D29" s="98">
        <v>80.900000000000006</v>
      </c>
      <c r="E29" s="98">
        <v>97.4</v>
      </c>
      <c r="F29" s="98">
        <v>95.1</v>
      </c>
      <c r="G29" s="98">
        <v>105</v>
      </c>
      <c r="H29" s="98">
        <v>101.7</v>
      </c>
    </row>
    <row r="30" spans="1:8" ht="15.75" customHeight="1">
      <c r="A30" s="97" t="s">
        <v>77</v>
      </c>
      <c r="B30" s="98">
        <v>95.1</v>
      </c>
      <c r="C30" s="98">
        <v>99.2</v>
      </c>
      <c r="D30" s="98">
        <v>84.3</v>
      </c>
      <c r="E30" s="98">
        <v>106</v>
      </c>
      <c r="F30" s="98">
        <v>104.3</v>
      </c>
      <c r="G30" s="98">
        <v>90.6</v>
      </c>
      <c r="H30" s="98">
        <v>97.9</v>
      </c>
    </row>
    <row r="31" spans="1:8" ht="15.75" customHeight="1">
      <c r="A31" s="97" t="s">
        <v>86</v>
      </c>
      <c r="B31" s="98">
        <v>94.9</v>
      </c>
      <c r="C31" s="98">
        <v>101.3</v>
      </c>
      <c r="D31" s="98">
        <v>86.5</v>
      </c>
      <c r="E31" s="98">
        <v>83.3</v>
      </c>
      <c r="F31" s="98">
        <v>109.7</v>
      </c>
      <c r="G31" s="98">
        <v>106.3</v>
      </c>
      <c r="H31" s="98">
        <v>96.6</v>
      </c>
    </row>
    <row r="32" spans="1:8" ht="15.75" customHeight="1">
      <c r="A32" s="97" t="s">
        <v>103</v>
      </c>
      <c r="B32" s="98">
        <v>94.4</v>
      </c>
      <c r="C32" s="98">
        <v>98.1</v>
      </c>
      <c r="D32" s="98">
        <v>83.3</v>
      </c>
      <c r="E32" s="98">
        <v>99.5</v>
      </c>
      <c r="F32" s="98">
        <v>103.4</v>
      </c>
      <c r="G32" s="98">
        <v>99.1</v>
      </c>
      <c r="H32" s="98">
        <v>97.7</v>
      </c>
    </row>
    <row r="33" spans="1:8" ht="15.75" customHeight="1">
      <c r="A33" s="97" t="s">
        <v>99</v>
      </c>
      <c r="B33" s="98">
        <v>94.2</v>
      </c>
      <c r="C33" s="98">
        <v>98.9</v>
      </c>
      <c r="D33" s="98">
        <v>85.7</v>
      </c>
      <c r="E33" s="98">
        <v>99.3</v>
      </c>
      <c r="F33" s="98">
        <v>95.9</v>
      </c>
      <c r="G33" s="98">
        <v>94.5</v>
      </c>
      <c r="H33" s="98">
        <v>97.2</v>
      </c>
    </row>
    <row r="34" spans="1:8" ht="15.75" customHeight="1">
      <c r="A34" s="97" t="s">
        <v>117</v>
      </c>
      <c r="B34" s="98">
        <v>93.3</v>
      </c>
      <c r="C34" s="98">
        <v>96.4</v>
      </c>
      <c r="D34" s="98">
        <v>86.9</v>
      </c>
      <c r="E34" s="98">
        <v>84.3</v>
      </c>
      <c r="F34" s="98">
        <v>90.1</v>
      </c>
      <c r="G34" s="98">
        <v>102.7</v>
      </c>
      <c r="H34" s="98">
        <v>99</v>
      </c>
    </row>
    <row r="35" spans="1:8" ht="15.75" customHeight="1">
      <c r="A35" s="97" t="s">
        <v>88</v>
      </c>
      <c r="B35" s="98">
        <v>93.1</v>
      </c>
      <c r="C35" s="98">
        <v>99.2</v>
      </c>
      <c r="D35" s="98">
        <v>80</v>
      </c>
      <c r="E35" s="98">
        <v>88.4</v>
      </c>
      <c r="F35" s="98">
        <v>96.7</v>
      </c>
      <c r="G35" s="98">
        <v>100</v>
      </c>
      <c r="H35" s="98">
        <v>100.6</v>
      </c>
    </row>
    <row r="36" spans="1:8" ht="15.75" customHeight="1">
      <c r="A36" s="97" t="s">
        <v>105</v>
      </c>
      <c r="B36" s="98">
        <v>93</v>
      </c>
      <c r="C36" s="98">
        <v>99.8</v>
      </c>
      <c r="D36" s="98">
        <v>78.7</v>
      </c>
      <c r="E36" s="98">
        <v>83.9</v>
      </c>
      <c r="F36" s="98">
        <v>96.8</v>
      </c>
      <c r="G36" s="98">
        <v>106.6</v>
      </c>
      <c r="H36" s="98">
        <v>101.2</v>
      </c>
    </row>
    <row r="37" spans="1:8" ht="15.75" customHeight="1">
      <c r="A37" s="97" t="s">
        <v>132</v>
      </c>
      <c r="B37" s="98">
        <v>92.7</v>
      </c>
      <c r="C37" s="98">
        <v>96.1</v>
      </c>
      <c r="D37" s="98">
        <v>82</v>
      </c>
      <c r="E37" s="98">
        <v>105.3</v>
      </c>
      <c r="F37" s="98">
        <v>92.8</v>
      </c>
      <c r="G37" s="98">
        <v>94.5</v>
      </c>
      <c r="H37" s="98">
        <v>96.6</v>
      </c>
    </row>
    <row r="38" spans="1:8" ht="15.75" customHeight="1">
      <c r="A38" s="97" t="s">
        <v>128</v>
      </c>
      <c r="B38" s="98">
        <v>92.2</v>
      </c>
      <c r="C38" s="98">
        <v>96.1</v>
      </c>
      <c r="D38" s="98">
        <v>83.8</v>
      </c>
      <c r="E38" s="98">
        <v>78.5</v>
      </c>
      <c r="F38" s="98">
        <v>95.4</v>
      </c>
      <c r="G38" s="98">
        <v>96.6</v>
      </c>
      <c r="H38" s="98">
        <v>99.4</v>
      </c>
    </row>
    <row r="39" spans="1:8" ht="15.75" customHeight="1">
      <c r="A39" s="97" t="s">
        <v>60</v>
      </c>
      <c r="B39" s="98">
        <v>92.2</v>
      </c>
      <c r="C39" s="98">
        <v>97.5</v>
      </c>
      <c r="D39" s="98">
        <v>88.1</v>
      </c>
      <c r="E39" s="98">
        <v>83.5</v>
      </c>
      <c r="F39" s="98">
        <v>98.3</v>
      </c>
      <c r="G39" s="98">
        <v>101</v>
      </c>
      <c r="H39" s="98">
        <v>92.4</v>
      </c>
    </row>
    <row r="40" spans="1:8" ht="15.75" customHeight="1">
      <c r="A40" s="97" t="s">
        <v>73</v>
      </c>
      <c r="B40" s="98">
        <v>91.9</v>
      </c>
      <c r="C40" s="98">
        <v>95</v>
      </c>
      <c r="D40" s="98">
        <v>80.099999999999994</v>
      </c>
      <c r="E40" s="98">
        <v>81</v>
      </c>
      <c r="F40" s="98">
        <v>99.8</v>
      </c>
      <c r="G40" s="98">
        <v>108.2</v>
      </c>
      <c r="H40" s="98">
        <v>98.8</v>
      </c>
    </row>
    <row r="41" spans="1:8" ht="15.75" customHeight="1">
      <c r="A41" s="97" t="s">
        <v>24</v>
      </c>
      <c r="B41" s="98">
        <v>91.3</v>
      </c>
      <c r="C41" s="98">
        <v>97.3</v>
      </c>
      <c r="D41" s="98">
        <v>79.2</v>
      </c>
      <c r="E41" s="98">
        <v>97.4</v>
      </c>
      <c r="F41" s="98">
        <v>96</v>
      </c>
      <c r="G41" s="98">
        <v>100.4</v>
      </c>
      <c r="H41" s="98">
        <v>94.6</v>
      </c>
    </row>
    <row r="42" spans="1:8" ht="15.75" customHeight="1">
      <c r="A42" s="97" t="s">
        <v>93</v>
      </c>
      <c r="B42" s="98">
        <v>90.5</v>
      </c>
      <c r="C42" s="98">
        <v>97.3</v>
      </c>
      <c r="D42" s="98">
        <v>77.099999999999994</v>
      </c>
      <c r="E42" s="98">
        <v>90.5</v>
      </c>
      <c r="F42" s="98">
        <v>98.7</v>
      </c>
      <c r="G42" s="98">
        <v>97.3</v>
      </c>
      <c r="H42" s="98">
        <v>95.4</v>
      </c>
    </row>
    <row r="43" spans="1:8" ht="15.75" customHeight="1">
      <c r="A43" s="97" t="s">
        <v>124</v>
      </c>
      <c r="B43" s="98">
        <v>90.5</v>
      </c>
      <c r="C43" s="98">
        <v>97.1</v>
      </c>
      <c r="D43" s="98">
        <v>83.2</v>
      </c>
      <c r="E43" s="98">
        <v>87.2</v>
      </c>
      <c r="F43" s="98">
        <v>89.1</v>
      </c>
      <c r="G43" s="98">
        <v>88.6</v>
      </c>
      <c r="H43" s="98">
        <v>94.9</v>
      </c>
    </row>
    <row r="44" spans="1:8" ht="15.75" customHeight="1">
      <c r="A44" s="97" t="s">
        <v>79</v>
      </c>
      <c r="B44" s="98">
        <v>90.4</v>
      </c>
      <c r="C44" s="98">
        <v>98.2</v>
      </c>
      <c r="D44" s="98">
        <v>73.7</v>
      </c>
      <c r="E44" s="98">
        <v>98</v>
      </c>
      <c r="F44" s="98">
        <v>99.6</v>
      </c>
      <c r="G44" s="98">
        <v>89.3</v>
      </c>
      <c r="H44" s="98">
        <v>96.5</v>
      </c>
    </row>
    <row r="45" spans="1:8" ht="15.75" customHeight="1">
      <c r="A45" s="97" t="s">
        <v>62</v>
      </c>
      <c r="B45" s="98">
        <v>89.7</v>
      </c>
      <c r="C45" s="98">
        <v>96.6</v>
      </c>
      <c r="D45" s="98">
        <v>74.8</v>
      </c>
      <c r="E45" s="98">
        <v>82.9</v>
      </c>
      <c r="F45" s="98">
        <v>97.6</v>
      </c>
      <c r="G45" s="98">
        <v>95.8</v>
      </c>
      <c r="H45" s="98">
        <v>95.4</v>
      </c>
    </row>
    <row r="46" spans="1:8" ht="15.75" customHeight="1">
      <c r="A46" s="97" t="s">
        <v>130</v>
      </c>
      <c r="B46" s="98">
        <v>88.7</v>
      </c>
      <c r="C46" s="98">
        <v>95.2</v>
      </c>
      <c r="D46" s="98">
        <v>74.8</v>
      </c>
      <c r="E46" s="98">
        <v>90.7</v>
      </c>
      <c r="F46" s="98">
        <v>90</v>
      </c>
      <c r="G46" s="98">
        <v>85.7</v>
      </c>
      <c r="H46" s="98">
        <v>96.7</v>
      </c>
    </row>
    <row r="47" spans="1:8" ht="13.9">
      <c r="A47" s="97" t="s">
        <v>90</v>
      </c>
      <c r="B47" s="98">
        <v>88.7</v>
      </c>
      <c r="C47" s="98">
        <v>96</v>
      </c>
      <c r="D47" s="98">
        <v>77.8</v>
      </c>
      <c r="E47" s="98">
        <v>98.8</v>
      </c>
      <c r="F47" s="98">
        <v>87.2</v>
      </c>
      <c r="G47" s="98">
        <v>91.8</v>
      </c>
      <c r="H47" s="98">
        <v>91.9</v>
      </c>
    </row>
    <row r="48" spans="1:8" ht="13.9">
      <c r="A48" s="97" t="s">
        <v>141</v>
      </c>
      <c r="B48" s="98">
        <v>88</v>
      </c>
      <c r="C48" s="98">
        <v>97.2</v>
      </c>
      <c r="D48" s="98">
        <v>69.5</v>
      </c>
      <c r="E48" s="98">
        <v>100</v>
      </c>
      <c r="F48" s="98">
        <v>90.8</v>
      </c>
      <c r="G48" s="98">
        <v>87</v>
      </c>
      <c r="H48" s="98">
        <v>95.6</v>
      </c>
    </row>
    <row r="49" spans="1:8" ht="13.9">
      <c r="A49" s="97" t="s">
        <v>142</v>
      </c>
      <c r="B49" s="98">
        <v>87.9</v>
      </c>
      <c r="C49" s="98">
        <v>96.3</v>
      </c>
      <c r="D49" s="98">
        <v>73.900000000000006</v>
      </c>
      <c r="E49" s="98">
        <v>88.9</v>
      </c>
      <c r="F49" s="98">
        <v>89.8</v>
      </c>
      <c r="G49" s="98">
        <v>99.3</v>
      </c>
      <c r="H49" s="98">
        <v>93.3</v>
      </c>
    </row>
    <row r="50" spans="1:8" ht="13.9">
      <c r="A50" s="97" t="s">
        <v>81</v>
      </c>
      <c r="B50" s="98">
        <v>87</v>
      </c>
      <c r="C50" s="98">
        <v>94.8</v>
      </c>
      <c r="D50" s="98">
        <v>72.400000000000006</v>
      </c>
      <c r="E50" s="98">
        <v>98.7</v>
      </c>
      <c r="F50" s="98">
        <v>90.1</v>
      </c>
      <c r="G50" s="98">
        <v>94.5</v>
      </c>
      <c r="H50" s="98">
        <v>90.8</v>
      </c>
    </row>
    <row r="51" spans="1:8" ht="13.9">
      <c r="A51" s="97" t="s">
        <v>136</v>
      </c>
      <c r="B51" s="98">
        <v>85.7</v>
      </c>
      <c r="C51" s="98">
        <v>95.4</v>
      </c>
      <c r="D51" s="98">
        <v>68.599999999999994</v>
      </c>
      <c r="E51" s="98">
        <v>95.4</v>
      </c>
      <c r="F51" s="98">
        <v>90.7</v>
      </c>
      <c r="G51" s="98">
        <v>96.6</v>
      </c>
      <c r="H51" s="98">
        <v>90.4</v>
      </c>
    </row>
    <row r="52" spans="1:8" ht="13.9">
      <c r="A52" s="97" t="s">
        <v>139</v>
      </c>
      <c r="B52" s="98">
        <v>84.1</v>
      </c>
      <c r="C52" s="98">
        <v>99</v>
      </c>
      <c r="D52" s="98">
        <v>59.9</v>
      </c>
      <c r="E52" s="98">
        <v>96.6</v>
      </c>
      <c r="F52" s="98">
        <v>93.1</v>
      </c>
      <c r="G52" s="98">
        <v>97.7</v>
      </c>
      <c r="H52" s="98">
        <v>90.2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Dashboard">
                <anchor moveWithCells="1">
                  <from>
                    <xdr:col>9</xdr:col>
                    <xdr:colOff>23813</xdr:colOff>
                    <xdr:row>2</xdr:row>
                    <xdr:rowOff>0</xdr:rowOff>
                  </from>
                  <to>
                    <xdr:col>10</xdr:col>
                    <xdr:colOff>723900</xdr:colOff>
                    <xdr:row>5</xdr:row>
                    <xdr:rowOff>28575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E52"/>
  <sheetViews>
    <sheetView workbookViewId="0">
      <selection activeCell="G11" sqref="G11"/>
    </sheetView>
  </sheetViews>
  <sheetFormatPr defaultColWidth="12.46484375" defaultRowHeight="15.75" customHeight="1"/>
  <cols>
    <col min="1" max="1" width="13.53125" customWidth="1"/>
    <col min="2" max="2" width="19" style="112" bestFit="1" customWidth="1"/>
    <col min="3" max="3" width="12.53125" customWidth="1"/>
    <col min="4" max="4" width="13.86328125" customWidth="1"/>
    <col min="5" max="5" width="13.33203125" customWidth="1"/>
  </cols>
  <sheetData>
    <row r="1" spans="1:5" s="109" customFormat="1" ht="15.75" customHeight="1">
      <c r="A1" s="106" t="s">
        <v>51</v>
      </c>
      <c r="B1" s="107" t="s">
        <v>9</v>
      </c>
      <c r="C1" s="107" t="s">
        <v>52</v>
      </c>
      <c r="D1" s="107" t="s">
        <v>183</v>
      </c>
      <c r="E1" s="108" t="s">
        <v>184</v>
      </c>
    </row>
    <row r="2" spans="1:5" ht="15.75" customHeight="1">
      <c r="A2" s="101">
        <v>1</v>
      </c>
      <c r="B2" s="110" t="s">
        <v>13</v>
      </c>
      <c r="C2" s="100">
        <v>74.36</v>
      </c>
      <c r="D2" s="100">
        <v>1</v>
      </c>
      <c r="E2" s="102">
        <v>2</v>
      </c>
    </row>
    <row r="3" spans="1:5" ht="15.75" customHeight="1">
      <c r="A3" s="101">
        <v>2</v>
      </c>
      <c r="B3" s="110" t="s">
        <v>17</v>
      </c>
      <c r="C3" s="100">
        <v>67.06</v>
      </c>
      <c r="D3" s="100">
        <v>2</v>
      </c>
      <c r="E3" s="102">
        <v>6</v>
      </c>
    </row>
    <row r="4" spans="1:5" ht="15.75" customHeight="1">
      <c r="A4" s="101">
        <v>3</v>
      </c>
      <c r="B4" s="110" t="s">
        <v>15</v>
      </c>
      <c r="C4" s="100">
        <v>63.6</v>
      </c>
      <c r="D4" s="100">
        <v>5</v>
      </c>
      <c r="E4" s="102">
        <v>4</v>
      </c>
    </row>
    <row r="5" spans="1:5" ht="15.75" customHeight="1">
      <c r="A5" s="101">
        <v>4</v>
      </c>
      <c r="B5" s="110" t="s">
        <v>18</v>
      </c>
      <c r="C5" s="100">
        <v>63.45</v>
      </c>
      <c r="D5" s="100">
        <v>3</v>
      </c>
      <c r="E5" s="102">
        <v>23</v>
      </c>
    </row>
    <row r="6" spans="1:5" ht="15.75" customHeight="1">
      <c r="A6" s="101">
        <v>5</v>
      </c>
      <c r="B6" s="110" t="s">
        <v>83</v>
      </c>
      <c r="C6" s="100">
        <v>60.62</v>
      </c>
      <c r="D6" s="100">
        <v>4</v>
      </c>
      <c r="E6" s="102">
        <v>18</v>
      </c>
    </row>
    <row r="7" spans="1:5" ht="15.75" customHeight="1">
      <c r="A7" s="101">
        <v>6</v>
      </c>
      <c r="B7" s="110" t="s">
        <v>12</v>
      </c>
      <c r="C7" s="100">
        <v>60.07</v>
      </c>
      <c r="D7" s="100">
        <v>6</v>
      </c>
      <c r="E7" s="102">
        <v>15</v>
      </c>
    </row>
    <row r="8" spans="1:5" ht="15.75" customHeight="1">
      <c r="A8" s="101">
        <v>7</v>
      </c>
      <c r="B8" s="110" t="s">
        <v>88</v>
      </c>
      <c r="C8" s="100">
        <v>58.31</v>
      </c>
      <c r="D8" s="100">
        <v>10</v>
      </c>
      <c r="E8" s="102">
        <v>7</v>
      </c>
    </row>
    <row r="9" spans="1:5" ht="15.75" customHeight="1">
      <c r="A9" s="101">
        <v>8</v>
      </c>
      <c r="B9" s="110" t="s">
        <v>21</v>
      </c>
      <c r="C9" s="100">
        <v>58.25</v>
      </c>
      <c r="D9" s="100">
        <v>9</v>
      </c>
      <c r="E9" s="102">
        <v>16</v>
      </c>
    </row>
    <row r="10" spans="1:5" ht="15.75" customHeight="1">
      <c r="A10" s="101">
        <v>9</v>
      </c>
      <c r="B10" s="110" t="s">
        <v>16</v>
      </c>
      <c r="C10" s="100">
        <v>57.81</v>
      </c>
      <c r="D10" s="100">
        <v>15</v>
      </c>
      <c r="E10" s="102">
        <v>5</v>
      </c>
    </row>
    <row r="11" spans="1:5" ht="15.75" customHeight="1">
      <c r="A11" s="101">
        <v>10</v>
      </c>
      <c r="B11" s="110" t="s">
        <v>73</v>
      </c>
      <c r="C11" s="100">
        <v>57.71</v>
      </c>
      <c r="D11" s="100">
        <v>7</v>
      </c>
      <c r="E11" s="102">
        <v>24</v>
      </c>
    </row>
    <row r="12" spans="1:5" ht="15.75" customHeight="1">
      <c r="A12" s="101">
        <v>11</v>
      </c>
      <c r="B12" s="110" t="s">
        <v>23</v>
      </c>
      <c r="C12" s="100">
        <v>57.33</v>
      </c>
      <c r="D12" s="100">
        <v>11</v>
      </c>
      <c r="E12" s="102">
        <v>8</v>
      </c>
    </row>
    <row r="13" spans="1:5" ht="15.75" customHeight="1">
      <c r="A13" s="101">
        <v>12</v>
      </c>
      <c r="B13" s="110" t="s">
        <v>103</v>
      </c>
      <c r="C13" s="100">
        <v>56.94</v>
      </c>
      <c r="D13" s="100">
        <v>8</v>
      </c>
      <c r="E13" s="102">
        <v>30</v>
      </c>
    </row>
    <row r="14" spans="1:5" ht="15.75" customHeight="1">
      <c r="A14" s="101">
        <v>13</v>
      </c>
      <c r="B14" s="110" t="s">
        <v>93</v>
      </c>
      <c r="C14" s="100">
        <v>56.92</v>
      </c>
      <c r="D14" s="100">
        <v>13</v>
      </c>
      <c r="E14" s="102">
        <v>10</v>
      </c>
    </row>
    <row r="15" spans="1:5" ht="15.75" customHeight="1">
      <c r="A15" s="101">
        <v>14</v>
      </c>
      <c r="B15" s="110" t="s">
        <v>19</v>
      </c>
      <c r="C15" s="100">
        <v>56.69</v>
      </c>
      <c r="D15" s="100">
        <v>27</v>
      </c>
      <c r="E15" s="102">
        <v>1</v>
      </c>
    </row>
    <row r="16" spans="1:5" ht="15.75" customHeight="1">
      <c r="A16" s="101">
        <v>15</v>
      </c>
      <c r="B16" s="110" t="s">
        <v>66</v>
      </c>
      <c r="C16" s="100">
        <v>56.38</v>
      </c>
      <c r="D16" s="100">
        <v>14</v>
      </c>
      <c r="E16" s="102">
        <v>14</v>
      </c>
    </row>
    <row r="17" spans="1:5" ht="15.75" customHeight="1">
      <c r="A17" s="101">
        <v>16</v>
      </c>
      <c r="B17" s="110" t="s">
        <v>14</v>
      </c>
      <c r="C17" s="100">
        <v>55.71</v>
      </c>
      <c r="D17" s="100">
        <v>28</v>
      </c>
      <c r="E17" s="102">
        <v>3</v>
      </c>
    </row>
    <row r="18" spans="1:5" ht="15.75" customHeight="1">
      <c r="A18" s="101">
        <v>17</v>
      </c>
      <c r="B18" s="110" t="s">
        <v>68</v>
      </c>
      <c r="C18" s="100">
        <v>55.28</v>
      </c>
      <c r="D18" s="100">
        <v>19</v>
      </c>
      <c r="E18" s="102">
        <v>13</v>
      </c>
    </row>
    <row r="19" spans="1:5" ht="15.75" customHeight="1">
      <c r="A19" s="101">
        <v>18</v>
      </c>
      <c r="B19" s="110" t="s">
        <v>11</v>
      </c>
      <c r="C19" s="100">
        <v>54.81</v>
      </c>
      <c r="D19" s="100">
        <v>21</v>
      </c>
      <c r="E19" s="102">
        <v>9</v>
      </c>
    </row>
    <row r="20" spans="1:5" ht="15.75" customHeight="1">
      <c r="A20" s="101">
        <v>19</v>
      </c>
      <c r="B20" s="110" t="s">
        <v>86</v>
      </c>
      <c r="C20" s="100">
        <v>54.74</v>
      </c>
      <c r="D20" s="100">
        <v>12</v>
      </c>
      <c r="E20" s="102">
        <v>25</v>
      </c>
    </row>
    <row r="21" spans="1:5" ht="15.75" customHeight="1">
      <c r="A21" s="101">
        <v>20</v>
      </c>
      <c r="B21" s="110" t="s">
        <v>62</v>
      </c>
      <c r="C21" s="100">
        <v>54.64</v>
      </c>
      <c r="D21" s="100">
        <v>17</v>
      </c>
      <c r="E21" s="102">
        <v>21</v>
      </c>
    </row>
    <row r="22" spans="1:5" ht="15.75" customHeight="1">
      <c r="A22" s="101">
        <v>21</v>
      </c>
      <c r="B22" s="110" t="s">
        <v>105</v>
      </c>
      <c r="C22" s="100">
        <v>54.28</v>
      </c>
      <c r="D22" s="100">
        <v>23</v>
      </c>
      <c r="E22" s="102">
        <v>12</v>
      </c>
    </row>
    <row r="23" spans="1:5" ht="15.75" customHeight="1">
      <c r="A23" s="101">
        <v>22</v>
      </c>
      <c r="B23" s="110" t="s">
        <v>60</v>
      </c>
      <c r="C23" s="100">
        <v>53.14</v>
      </c>
      <c r="D23" s="100">
        <v>20</v>
      </c>
      <c r="E23" s="102">
        <v>22</v>
      </c>
    </row>
    <row r="24" spans="1:5" ht="15.75" customHeight="1">
      <c r="A24" s="101">
        <v>23</v>
      </c>
      <c r="B24" s="110" t="s">
        <v>107</v>
      </c>
      <c r="C24" s="100">
        <v>53.06</v>
      </c>
      <c r="D24" s="100">
        <v>24</v>
      </c>
      <c r="E24" s="102">
        <v>11</v>
      </c>
    </row>
    <row r="25" spans="1:5" ht="15.75" customHeight="1">
      <c r="A25" s="101">
        <v>24</v>
      </c>
      <c r="B25" s="110" t="s">
        <v>57</v>
      </c>
      <c r="C25" s="100">
        <v>52.75</v>
      </c>
      <c r="D25" s="100">
        <v>18</v>
      </c>
      <c r="E25" s="102">
        <v>34</v>
      </c>
    </row>
    <row r="26" spans="1:5" ht="15.75" customHeight="1">
      <c r="A26" s="101">
        <v>25</v>
      </c>
      <c r="B26" s="110" t="s">
        <v>119</v>
      </c>
      <c r="C26" s="100">
        <v>52.23</v>
      </c>
      <c r="D26" s="100">
        <v>22</v>
      </c>
      <c r="E26" s="102">
        <v>26</v>
      </c>
    </row>
    <row r="27" spans="1:5" ht="15.75" customHeight="1">
      <c r="A27" s="101">
        <v>26</v>
      </c>
      <c r="B27" s="110" t="s">
        <v>71</v>
      </c>
      <c r="C27" s="100">
        <v>51.59</v>
      </c>
      <c r="D27" s="100">
        <v>16</v>
      </c>
      <c r="E27" s="102">
        <v>47</v>
      </c>
    </row>
    <row r="28" spans="1:5" ht="15.75" customHeight="1">
      <c r="A28" s="101">
        <v>27</v>
      </c>
      <c r="B28" s="110" t="s">
        <v>77</v>
      </c>
      <c r="C28" s="100">
        <v>51.49</v>
      </c>
      <c r="D28" s="100">
        <v>25</v>
      </c>
      <c r="E28" s="102">
        <v>31</v>
      </c>
    </row>
    <row r="29" spans="1:5" ht="15.75" customHeight="1">
      <c r="A29" s="101">
        <v>28</v>
      </c>
      <c r="B29" s="110" t="s">
        <v>122</v>
      </c>
      <c r="C29" s="100">
        <v>51.19</v>
      </c>
      <c r="D29" s="100">
        <v>26</v>
      </c>
      <c r="E29" s="102">
        <v>32</v>
      </c>
    </row>
    <row r="30" spans="1:5" ht="15.75" customHeight="1">
      <c r="A30" s="101">
        <v>29</v>
      </c>
      <c r="B30" s="110" t="s">
        <v>132</v>
      </c>
      <c r="C30" s="100">
        <v>49.86</v>
      </c>
      <c r="D30" s="100">
        <v>32</v>
      </c>
      <c r="E30" s="102">
        <v>19</v>
      </c>
    </row>
    <row r="31" spans="1:5" ht="15.75" customHeight="1">
      <c r="A31" s="101">
        <v>30</v>
      </c>
      <c r="B31" s="110" t="s">
        <v>99</v>
      </c>
      <c r="C31" s="100">
        <v>48.88</v>
      </c>
      <c r="D31" s="100">
        <v>30</v>
      </c>
      <c r="E31" s="102">
        <v>33</v>
      </c>
    </row>
    <row r="32" spans="1:5" ht="15.75" customHeight="1">
      <c r="A32" s="101">
        <v>31</v>
      </c>
      <c r="B32" s="110" t="s">
        <v>130</v>
      </c>
      <c r="C32" s="100">
        <v>48.66</v>
      </c>
      <c r="D32" s="100">
        <v>31</v>
      </c>
      <c r="E32" s="102">
        <v>36</v>
      </c>
    </row>
    <row r="33" spans="1:5" ht="15.75" customHeight="1">
      <c r="A33" s="101">
        <v>32</v>
      </c>
      <c r="B33" s="110" t="s">
        <v>124</v>
      </c>
      <c r="C33" s="100">
        <v>48.48</v>
      </c>
      <c r="D33" s="100">
        <v>29</v>
      </c>
      <c r="E33" s="102">
        <v>45</v>
      </c>
    </row>
    <row r="34" spans="1:5" ht="15.75" customHeight="1">
      <c r="A34" s="101">
        <v>33</v>
      </c>
      <c r="B34" s="110" t="s">
        <v>22</v>
      </c>
      <c r="C34" s="100">
        <v>48.04</v>
      </c>
      <c r="D34" s="100">
        <v>38</v>
      </c>
      <c r="E34" s="102">
        <v>17</v>
      </c>
    </row>
    <row r="35" spans="1:5" ht="15.75" customHeight="1">
      <c r="A35" s="101">
        <v>34</v>
      </c>
      <c r="B35" s="110" t="s">
        <v>110</v>
      </c>
      <c r="C35" s="100">
        <v>47.61</v>
      </c>
      <c r="D35" s="100">
        <v>35</v>
      </c>
      <c r="E35" s="102">
        <v>39</v>
      </c>
    </row>
    <row r="36" spans="1:5" ht="15.75" customHeight="1">
      <c r="A36" s="101">
        <v>35</v>
      </c>
      <c r="B36" s="110" t="s">
        <v>24</v>
      </c>
      <c r="C36" s="100">
        <v>47.42</v>
      </c>
      <c r="D36" s="100">
        <v>36</v>
      </c>
      <c r="E36" s="102">
        <v>40</v>
      </c>
    </row>
    <row r="37" spans="1:5" ht="15.75" customHeight="1">
      <c r="A37" s="101">
        <v>36</v>
      </c>
      <c r="B37" s="110" t="s">
        <v>79</v>
      </c>
      <c r="C37" s="100">
        <v>47.12</v>
      </c>
      <c r="D37" s="100">
        <v>37</v>
      </c>
      <c r="E37" s="102">
        <v>27</v>
      </c>
    </row>
    <row r="38" spans="1:5" ht="15.75" customHeight="1">
      <c r="A38" s="101">
        <v>37</v>
      </c>
      <c r="B38" s="110" t="s">
        <v>81</v>
      </c>
      <c r="C38" s="100">
        <v>46.47</v>
      </c>
      <c r="D38" s="100">
        <v>33</v>
      </c>
      <c r="E38" s="102">
        <v>46</v>
      </c>
    </row>
    <row r="39" spans="1:5" ht="15.75" customHeight="1">
      <c r="A39" s="101">
        <v>38</v>
      </c>
      <c r="B39" s="110" t="s">
        <v>90</v>
      </c>
      <c r="C39" s="100">
        <v>45.69</v>
      </c>
      <c r="D39" s="100">
        <v>34</v>
      </c>
      <c r="E39" s="102">
        <v>50</v>
      </c>
    </row>
    <row r="40" spans="1:5" ht="15.75" customHeight="1">
      <c r="A40" s="101">
        <v>39</v>
      </c>
      <c r="B40" s="110" t="s">
        <v>95</v>
      </c>
      <c r="C40" s="100">
        <v>45.43</v>
      </c>
      <c r="D40" s="100">
        <v>39</v>
      </c>
      <c r="E40" s="102">
        <v>41</v>
      </c>
    </row>
    <row r="41" spans="1:5" ht="15.75" customHeight="1">
      <c r="A41" s="101">
        <v>40</v>
      </c>
      <c r="B41" s="110" t="s">
        <v>75</v>
      </c>
      <c r="C41" s="100">
        <v>44.14</v>
      </c>
      <c r="D41" s="100">
        <v>41</v>
      </c>
      <c r="E41" s="102">
        <v>29</v>
      </c>
    </row>
    <row r="42" spans="1:5" ht="15.75" customHeight="1">
      <c r="A42" s="101">
        <v>41</v>
      </c>
      <c r="B42" s="110" t="s">
        <v>20</v>
      </c>
      <c r="C42" s="100">
        <v>42.92</v>
      </c>
      <c r="D42" s="100">
        <v>43</v>
      </c>
      <c r="E42" s="102">
        <v>28</v>
      </c>
    </row>
    <row r="43" spans="1:5" ht="15.75" customHeight="1">
      <c r="A43" s="101">
        <v>42</v>
      </c>
      <c r="B43" s="110" t="s">
        <v>112</v>
      </c>
      <c r="C43" s="100">
        <v>42.87</v>
      </c>
      <c r="D43" s="100">
        <v>40</v>
      </c>
      <c r="E43" s="102">
        <v>49</v>
      </c>
    </row>
    <row r="44" spans="1:5" ht="15.75" customHeight="1">
      <c r="A44" s="101">
        <v>43</v>
      </c>
      <c r="B44" s="110" t="s">
        <v>142</v>
      </c>
      <c r="C44" s="100">
        <v>40.35</v>
      </c>
      <c r="D44" s="100">
        <v>42</v>
      </c>
      <c r="E44" s="102">
        <v>51</v>
      </c>
    </row>
    <row r="45" spans="1:5" ht="13.15">
      <c r="A45" s="101">
        <v>44</v>
      </c>
      <c r="B45" s="110" t="s">
        <v>141</v>
      </c>
      <c r="C45" s="100">
        <v>40.159999999999997</v>
      </c>
      <c r="D45" s="100">
        <v>44</v>
      </c>
      <c r="E45" s="102">
        <v>37</v>
      </c>
    </row>
    <row r="46" spans="1:5" ht="13.15">
      <c r="A46" s="101">
        <v>45</v>
      </c>
      <c r="B46" s="110" t="s">
        <v>101</v>
      </c>
      <c r="C46" s="100">
        <v>38.6</v>
      </c>
      <c r="D46" s="100">
        <v>45</v>
      </c>
      <c r="E46" s="102">
        <v>44</v>
      </c>
    </row>
    <row r="47" spans="1:5" ht="13.15">
      <c r="A47" s="101">
        <v>46</v>
      </c>
      <c r="B47" s="110" t="s">
        <v>139</v>
      </c>
      <c r="C47" s="100">
        <v>38.56</v>
      </c>
      <c r="D47" s="100">
        <v>47</v>
      </c>
      <c r="E47" s="102">
        <v>20</v>
      </c>
    </row>
    <row r="48" spans="1:5" ht="13.15">
      <c r="A48" s="101">
        <v>47</v>
      </c>
      <c r="B48" s="110" t="s">
        <v>128</v>
      </c>
      <c r="C48" s="100">
        <v>38.17</v>
      </c>
      <c r="D48" s="100">
        <v>46</v>
      </c>
      <c r="E48" s="102">
        <v>48</v>
      </c>
    </row>
    <row r="49" spans="1:5" ht="13.15">
      <c r="A49" s="101">
        <v>48</v>
      </c>
      <c r="B49" s="110" t="s">
        <v>134</v>
      </c>
      <c r="C49" s="100">
        <v>36.770000000000003</v>
      </c>
      <c r="D49" s="100">
        <v>48</v>
      </c>
      <c r="E49" s="102">
        <v>38</v>
      </c>
    </row>
    <row r="50" spans="1:5" ht="13.15">
      <c r="A50" s="101">
        <v>49</v>
      </c>
      <c r="B50" s="110" t="s">
        <v>114</v>
      </c>
      <c r="C50" s="100">
        <v>33.32</v>
      </c>
      <c r="D50" s="100">
        <v>49</v>
      </c>
      <c r="E50" s="102">
        <v>43</v>
      </c>
    </row>
    <row r="51" spans="1:5" ht="13.15">
      <c r="A51" s="101">
        <v>50</v>
      </c>
      <c r="B51" s="110" t="s">
        <v>136</v>
      </c>
      <c r="C51" s="100">
        <v>32.799999999999997</v>
      </c>
      <c r="D51" s="100">
        <v>50</v>
      </c>
      <c r="E51" s="102">
        <v>35</v>
      </c>
    </row>
    <row r="52" spans="1:5" ht="13.15">
      <c r="A52" s="103">
        <v>51</v>
      </c>
      <c r="B52" s="111" t="s">
        <v>117</v>
      </c>
      <c r="C52" s="104">
        <v>27.92</v>
      </c>
      <c r="D52" s="104">
        <v>51</v>
      </c>
      <c r="E52" s="105">
        <v>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Dashboard">
                <anchor moveWithCells="1">
                  <from>
                    <xdr:col>6</xdr:col>
                    <xdr:colOff>0</xdr:colOff>
                    <xdr:row>2</xdr:row>
                    <xdr:rowOff>0</xdr:rowOff>
                  </from>
                  <to>
                    <xdr:col>7</xdr:col>
                    <xdr:colOff>709613</xdr:colOff>
                    <xdr:row>5</xdr:row>
                    <xdr:rowOff>28575</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E32"/>
  <sheetViews>
    <sheetView zoomScale="85" zoomScaleNormal="85" workbookViewId="0">
      <selection activeCell="E1" sqref="E1:E15"/>
    </sheetView>
  </sheetViews>
  <sheetFormatPr defaultColWidth="12.46484375" defaultRowHeight="15.75" customHeight="1"/>
  <cols>
    <col min="1" max="1" width="16" bestFit="1" customWidth="1"/>
    <col min="2" max="2" width="32.33203125" bestFit="1" customWidth="1"/>
    <col min="3" max="3" width="22" bestFit="1" customWidth="1"/>
    <col min="4" max="4" width="21.46484375" customWidth="1"/>
    <col min="5" max="5" width="25.6640625" bestFit="1" customWidth="1"/>
    <col min="6" max="6" width="35.33203125" bestFit="1" customWidth="1"/>
  </cols>
  <sheetData>
    <row r="1" spans="1:5" ht="23.75" customHeight="1">
      <c r="A1" s="13" t="s">
        <v>185</v>
      </c>
      <c r="B1" s="13" t="s">
        <v>9</v>
      </c>
      <c r="C1" s="13" t="s">
        <v>186</v>
      </c>
      <c r="D1" s="13" t="s">
        <v>187</v>
      </c>
      <c r="E1" s="13" t="s">
        <v>29</v>
      </c>
    </row>
    <row r="2" spans="1:5" ht="15.75" customHeight="1">
      <c r="A2" s="23">
        <v>1</v>
      </c>
      <c r="B2" s="23" t="s">
        <v>14</v>
      </c>
      <c r="C2" s="23">
        <v>41</v>
      </c>
      <c r="D2" s="23">
        <v>101</v>
      </c>
      <c r="E2" s="23" t="s">
        <v>39</v>
      </c>
    </row>
    <row r="3" spans="1:5" ht="15.75" customHeight="1">
      <c r="A3" s="23">
        <v>2</v>
      </c>
      <c r="B3" s="23" t="s">
        <v>12</v>
      </c>
      <c r="C3" s="23">
        <v>43.8</v>
      </c>
      <c r="D3" s="23">
        <v>90</v>
      </c>
      <c r="E3" s="23" t="s">
        <v>39</v>
      </c>
    </row>
    <row r="4" spans="1:5" ht="15.75" customHeight="1">
      <c r="A4" s="23">
        <v>3</v>
      </c>
      <c r="B4" s="23" t="s">
        <v>13</v>
      </c>
      <c r="C4" s="23">
        <v>47.9</v>
      </c>
      <c r="D4" s="23">
        <v>98</v>
      </c>
      <c r="E4" s="23" t="s">
        <v>39</v>
      </c>
    </row>
    <row r="5" spans="1:5" ht="15.75" customHeight="1">
      <c r="A5" s="23">
        <v>4</v>
      </c>
      <c r="B5" s="23" t="s">
        <v>11</v>
      </c>
      <c r="C5" s="23">
        <v>50.1</v>
      </c>
      <c r="D5" s="23">
        <v>98</v>
      </c>
      <c r="E5" s="23" t="s">
        <v>39</v>
      </c>
    </row>
    <row r="6" spans="1:5" ht="15.75" customHeight="1">
      <c r="A6" s="23">
        <v>5</v>
      </c>
      <c r="B6" s="23" t="s">
        <v>17</v>
      </c>
      <c r="C6" s="23">
        <v>49</v>
      </c>
      <c r="D6" s="23">
        <v>82</v>
      </c>
      <c r="E6" s="23" t="s">
        <v>39</v>
      </c>
    </row>
    <row r="7" spans="1:5" ht="15.75" customHeight="1">
      <c r="A7" s="23">
        <v>6</v>
      </c>
      <c r="B7" s="23" t="s">
        <v>21</v>
      </c>
      <c r="C7" s="23">
        <v>45.4</v>
      </c>
      <c r="D7" s="23">
        <v>63</v>
      </c>
      <c r="E7" s="23" t="s">
        <v>39</v>
      </c>
    </row>
    <row r="8" spans="1:5" ht="15.75" customHeight="1">
      <c r="A8" s="23">
        <v>7</v>
      </c>
      <c r="B8" s="23" t="s">
        <v>18</v>
      </c>
      <c r="C8" s="23">
        <v>52.7</v>
      </c>
      <c r="D8" s="23">
        <v>94</v>
      </c>
      <c r="E8" s="23" t="s">
        <v>39</v>
      </c>
    </row>
    <row r="9" spans="1:5" ht="15.75" customHeight="1">
      <c r="A9" s="23">
        <v>8</v>
      </c>
      <c r="B9" s="23" t="s">
        <v>19</v>
      </c>
      <c r="C9" s="23">
        <v>55.3</v>
      </c>
      <c r="D9" s="23">
        <v>97</v>
      </c>
      <c r="E9" s="23" t="s">
        <v>40</v>
      </c>
    </row>
    <row r="10" spans="1:5" ht="15.75" customHeight="1">
      <c r="A10" s="23">
        <v>9</v>
      </c>
      <c r="B10" s="23" t="s">
        <v>15</v>
      </c>
      <c r="C10" s="23">
        <v>54.2</v>
      </c>
      <c r="D10" s="23">
        <v>105</v>
      </c>
      <c r="E10" s="23" t="s">
        <v>40</v>
      </c>
    </row>
    <row r="11" spans="1:5" ht="15.75" customHeight="1">
      <c r="A11" s="23">
        <v>10</v>
      </c>
      <c r="B11" s="23" t="s">
        <v>16</v>
      </c>
      <c r="C11" s="23">
        <v>55.1</v>
      </c>
      <c r="D11" s="23">
        <v>100</v>
      </c>
      <c r="E11" s="23" t="s">
        <v>40</v>
      </c>
    </row>
    <row r="12" spans="1:5" ht="15.75" customHeight="1">
      <c r="A12" s="23">
        <v>11</v>
      </c>
      <c r="B12" s="23" t="s">
        <v>22</v>
      </c>
      <c r="C12" s="23">
        <v>59</v>
      </c>
      <c r="D12" s="23">
        <v>109</v>
      </c>
      <c r="E12" s="23" t="s">
        <v>40</v>
      </c>
    </row>
    <row r="13" spans="1:5" ht="15.75" customHeight="1">
      <c r="A13" s="23">
        <v>12</v>
      </c>
      <c r="B13" s="23" t="s">
        <v>20</v>
      </c>
      <c r="C13" s="23">
        <v>62.4</v>
      </c>
      <c r="D13" s="23">
        <v>115</v>
      </c>
      <c r="E13" s="23" t="s">
        <v>40</v>
      </c>
    </row>
    <row r="14" spans="1:5" ht="15.75" customHeight="1">
      <c r="A14" s="23">
        <v>13</v>
      </c>
      <c r="B14" s="23" t="s">
        <v>24</v>
      </c>
      <c r="C14" s="23">
        <v>63.5</v>
      </c>
      <c r="D14" s="23">
        <v>112</v>
      </c>
      <c r="E14" s="23" t="s">
        <v>40</v>
      </c>
    </row>
    <row r="15" spans="1:5" ht="15.75" customHeight="1">
      <c r="A15" s="23">
        <v>14</v>
      </c>
      <c r="B15" s="23" t="s">
        <v>23</v>
      </c>
      <c r="C15" s="23">
        <v>70.7</v>
      </c>
      <c r="D15" s="23">
        <v>101</v>
      </c>
      <c r="E15" s="23" t="s">
        <v>40</v>
      </c>
    </row>
    <row r="17" spans="1:3" ht="12.75">
      <c r="A17" s="30" t="s">
        <v>25</v>
      </c>
      <c r="B17" s="30" t="s">
        <v>188</v>
      </c>
      <c r="C17" s="30" t="s">
        <v>189</v>
      </c>
    </row>
    <row r="18" spans="1:3" ht="13.15">
      <c r="A18" s="31" t="s">
        <v>23</v>
      </c>
      <c r="B18" s="31">
        <v>101</v>
      </c>
      <c r="C18" s="31">
        <v>70.7</v>
      </c>
    </row>
    <row r="19" spans="1:3" ht="13.15">
      <c r="A19" s="31" t="s">
        <v>24</v>
      </c>
      <c r="B19" s="31">
        <v>112</v>
      </c>
      <c r="C19" s="31">
        <v>63.5</v>
      </c>
    </row>
    <row r="20" spans="1:3" ht="13.15">
      <c r="A20" s="31" t="s">
        <v>20</v>
      </c>
      <c r="B20" s="31">
        <v>115</v>
      </c>
      <c r="C20" s="31">
        <v>62.4</v>
      </c>
    </row>
    <row r="21" spans="1:3" ht="13.15">
      <c r="A21" s="31" t="s">
        <v>22</v>
      </c>
      <c r="B21" s="31">
        <v>109</v>
      </c>
      <c r="C21" s="31">
        <v>59</v>
      </c>
    </row>
    <row r="22" spans="1:3" ht="13.15">
      <c r="A22" s="31" t="s">
        <v>19</v>
      </c>
      <c r="B22" s="31">
        <v>97</v>
      </c>
      <c r="C22" s="31">
        <v>55.3</v>
      </c>
    </row>
    <row r="23" spans="1:3" ht="13.15">
      <c r="A23" s="31" t="s">
        <v>16</v>
      </c>
      <c r="B23" s="31">
        <v>100</v>
      </c>
      <c r="C23" s="31">
        <v>55.1</v>
      </c>
    </row>
    <row r="24" spans="1:3" ht="13.15">
      <c r="A24" s="31" t="s">
        <v>15</v>
      </c>
      <c r="B24" s="31">
        <v>105</v>
      </c>
      <c r="C24" s="31">
        <v>54.2</v>
      </c>
    </row>
    <row r="25" spans="1:3" ht="13.15">
      <c r="A25" s="31" t="s">
        <v>18</v>
      </c>
      <c r="B25" s="31">
        <v>94</v>
      </c>
      <c r="C25" s="31">
        <v>52.7</v>
      </c>
    </row>
    <row r="26" spans="1:3" ht="13.15">
      <c r="A26" s="31" t="s">
        <v>11</v>
      </c>
      <c r="B26" s="31">
        <v>98</v>
      </c>
      <c r="C26" s="31">
        <v>50.1</v>
      </c>
    </row>
    <row r="27" spans="1:3" ht="13.15">
      <c r="A27" s="31" t="s">
        <v>17</v>
      </c>
      <c r="B27" s="31">
        <v>82</v>
      </c>
      <c r="C27" s="31">
        <v>49</v>
      </c>
    </row>
    <row r="28" spans="1:3" ht="13.15">
      <c r="A28" s="31" t="s">
        <v>13</v>
      </c>
      <c r="B28" s="31">
        <v>98</v>
      </c>
      <c r="C28" s="31">
        <v>47.9</v>
      </c>
    </row>
    <row r="29" spans="1:3" ht="13.15">
      <c r="A29" s="31" t="s">
        <v>21</v>
      </c>
      <c r="B29" s="31">
        <v>63</v>
      </c>
      <c r="C29" s="31">
        <v>45.4</v>
      </c>
    </row>
    <row r="30" spans="1:3" ht="13.15">
      <c r="A30" s="31" t="s">
        <v>12</v>
      </c>
      <c r="B30" s="31">
        <v>90</v>
      </c>
      <c r="C30" s="31">
        <v>43.8</v>
      </c>
    </row>
    <row r="31" spans="1:3" ht="13.15">
      <c r="A31" s="31" t="s">
        <v>14</v>
      </c>
      <c r="B31" s="31">
        <v>101</v>
      </c>
      <c r="C31" s="31">
        <v>41</v>
      </c>
    </row>
    <row r="32" spans="1:3" ht="12.75"/>
  </sheetData>
  <conditionalFormatting sqref="D2:D15">
    <cfRule type="dataBar" priority="4">
      <dataBar>
        <cfvo type="min"/>
        <cfvo type="max"/>
        <color rgb="FFFFB628"/>
      </dataBar>
      <extLst>
        <ext xmlns:x14="http://schemas.microsoft.com/office/spreadsheetml/2009/9/main" uri="{B025F937-C7B1-47D3-B67F-A62EFF666E3E}">
          <x14:id>{28EF3C5E-9DF6-410E-9B7B-F0906E4EE995}</x14:id>
        </ext>
      </extLst>
    </cfRule>
  </conditionalFormatting>
  <conditionalFormatting sqref="C2:C15">
    <cfRule type="colorScale" priority="3">
      <colorScale>
        <cfvo type="min"/>
        <cfvo type="percentile" val="50"/>
        <cfvo type="max"/>
        <color rgb="FF63BE7B"/>
        <color rgb="FFFFEB84"/>
        <color rgb="FFF8696B"/>
      </colorScale>
    </cfRule>
  </conditionalFormatting>
  <conditionalFormatting pivot="1" sqref="B18:B31">
    <cfRule type="dataBar" priority="2">
      <dataBar>
        <cfvo type="min"/>
        <cfvo type="max"/>
        <color rgb="FFFFB628"/>
      </dataBar>
      <extLst>
        <ext xmlns:x14="http://schemas.microsoft.com/office/spreadsheetml/2009/9/main" uri="{B025F937-C7B1-47D3-B67F-A62EFF666E3E}">
          <x14:id>{FDEF76A9-7064-48B4-B22A-950DBABCA984}</x14:id>
        </ext>
      </extLst>
    </cfRule>
  </conditionalFormatting>
  <conditionalFormatting pivot="1" sqref="C18:C31">
    <cfRule type="colorScale" priority="1">
      <colorScale>
        <cfvo type="min"/>
        <cfvo type="percentile" val="50"/>
        <cfvo type="max"/>
        <color rgb="FF63BE7B"/>
        <color rgb="FFFFEB84"/>
        <color rgb="FFF8696B"/>
      </colorScale>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28EF3C5E-9DF6-410E-9B7B-F0906E4EE995}">
            <x14:dataBar minLength="0" maxLength="100" gradient="0">
              <x14:cfvo type="autoMin"/>
              <x14:cfvo type="autoMax"/>
              <x14:negativeFillColor rgb="FFFF0000"/>
              <x14:axisColor rgb="FF000000"/>
            </x14:dataBar>
          </x14:cfRule>
          <xm:sqref>D2:D15</xm:sqref>
        </x14:conditionalFormatting>
        <x14:conditionalFormatting xmlns:xm="http://schemas.microsoft.com/office/excel/2006/main" pivot="1">
          <x14:cfRule type="dataBar" id="{FDEF76A9-7064-48B4-B22A-950DBABCA984}">
            <x14:dataBar minLength="0" maxLength="100" border="1" negativeBarBorderColorSameAsPositive="0">
              <x14:cfvo type="autoMin"/>
              <x14:cfvo type="autoMax"/>
              <x14:borderColor rgb="FFFFB628"/>
              <x14:negativeFillColor rgb="FFFF0000"/>
              <x14:negativeBorderColor rgb="FFFF0000"/>
              <x14:axisColor rgb="FF000000"/>
            </x14:dataBar>
          </x14:cfRule>
          <xm:sqref>B18:B31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106E0-A821-4583-B70E-58AA368ABBBF}">
  <sheetPr codeName="Sheet10"/>
  <dimension ref="B7:D21"/>
  <sheetViews>
    <sheetView workbookViewId="0">
      <selection activeCell="B7" sqref="B7"/>
    </sheetView>
  </sheetViews>
  <sheetFormatPr defaultColWidth="8.6640625" defaultRowHeight="12.75"/>
  <cols>
    <col min="2" max="2" width="13.53125" bestFit="1" customWidth="1"/>
    <col min="3" max="3" width="11.265625" bestFit="1" customWidth="1"/>
    <col min="4" max="4" width="11.53125" bestFit="1" customWidth="1"/>
    <col min="5" max="5" width="6.46484375" bestFit="1" customWidth="1"/>
    <col min="6" max="6" width="7.46484375" bestFit="1" customWidth="1"/>
    <col min="7" max="7" width="6" bestFit="1" customWidth="1"/>
    <col min="8" max="8" width="8.46484375" bestFit="1" customWidth="1"/>
    <col min="9" max="9" width="13.6640625" bestFit="1" customWidth="1"/>
    <col min="10" max="10" width="14.1328125" bestFit="1" customWidth="1"/>
    <col min="11" max="11" width="10.46484375" bestFit="1" customWidth="1"/>
    <col min="12" max="12" width="9" bestFit="1" customWidth="1"/>
    <col min="13" max="13" width="12.6640625" bestFit="1" customWidth="1"/>
    <col min="14" max="14" width="11.6640625" bestFit="1" customWidth="1"/>
    <col min="15" max="15" width="13.33203125" bestFit="1" customWidth="1"/>
    <col min="16" max="16" width="7.1328125" bestFit="1" customWidth="1"/>
    <col min="17" max="17" width="10.46484375" bestFit="1" customWidth="1"/>
  </cols>
  <sheetData>
    <row r="7" spans="2:4">
      <c r="B7" s="7" t="s">
        <v>159</v>
      </c>
      <c r="C7" s="6" t="s">
        <v>190</v>
      </c>
      <c r="D7" s="10" t="s">
        <v>191</v>
      </c>
    </row>
    <row r="8" spans="2:4">
      <c r="B8" s="8" t="s">
        <v>12</v>
      </c>
      <c r="C8" s="137">
        <v>65.58</v>
      </c>
      <c r="D8" s="138">
        <v>996</v>
      </c>
    </row>
    <row r="9" spans="2:4">
      <c r="B9" s="9" t="s">
        <v>14</v>
      </c>
      <c r="C9" s="139">
        <v>64.19</v>
      </c>
      <c r="D9" s="140">
        <v>1220</v>
      </c>
    </row>
    <row r="10" spans="2:4">
      <c r="B10" s="9" t="s">
        <v>11</v>
      </c>
      <c r="C10" s="139">
        <v>57.45</v>
      </c>
      <c r="D10" s="140">
        <v>1290</v>
      </c>
    </row>
    <row r="11" spans="2:4">
      <c r="B11" s="9" t="s">
        <v>13</v>
      </c>
      <c r="C11" s="139">
        <v>63.59</v>
      </c>
      <c r="D11" s="140">
        <v>1410</v>
      </c>
    </row>
    <row r="12" spans="2:4">
      <c r="B12" s="9" t="s">
        <v>17</v>
      </c>
      <c r="C12" s="139">
        <v>59.51</v>
      </c>
      <c r="D12" s="140">
        <v>1710</v>
      </c>
    </row>
    <row r="13" spans="2:4">
      <c r="B13" s="9" t="s">
        <v>18</v>
      </c>
      <c r="C13" s="139">
        <v>53.28</v>
      </c>
      <c r="D13" s="140">
        <v>1740</v>
      </c>
    </row>
    <row r="14" spans="2:4">
      <c r="B14" s="9" t="s">
        <v>23</v>
      </c>
      <c r="C14" s="139">
        <v>37.659999999999997</v>
      </c>
      <c r="D14" s="140">
        <v>1810</v>
      </c>
    </row>
    <row r="15" spans="2:4">
      <c r="B15" s="9" t="s">
        <v>16</v>
      </c>
      <c r="C15" s="139">
        <v>54.19</v>
      </c>
      <c r="D15" s="140">
        <v>1890</v>
      </c>
    </row>
    <row r="16" spans="2:4">
      <c r="B16" s="9" t="s">
        <v>24</v>
      </c>
      <c r="C16" s="139">
        <v>42.92</v>
      </c>
      <c r="D16" s="140">
        <v>2180</v>
      </c>
    </row>
    <row r="17" spans="2:4">
      <c r="B17" s="9" t="s">
        <v>21</v>
      </c>
      <c r="C17" s="139">
        <v>51.27</v>
      </c>
      <c r="D17" s="140">
        <v>2190</v>
      </c>
    </row>
    <row r="18" spans="2:4">
      <c r="B18" s="9" t="s">
        <v>19</v>
      </c>
      <c r="C18" s="139">
        <v>52.84</v>
      </c>
      <c r="D18" s="140">
        <v>2260</v>
      </c>
    </row>
    <row r="19" spans="2:4">
      <c r="B19" s="9" t="s">
        <v>22</v>
      </c>
      <c r="C19" s="139">
        <v>51.5</v>
      </c>
      <c r="D19" s="140">
        <v>2460</v>
      </c>
    </row>
    <row r="20" spans="2:4">
      <c r="B20" s="9" t="s">
        <v>15</v>
      </c>
      <c r="C20" s="139">
        <v>53.87</v>
      </c>
      <c r="D20" s="140">
        <v>2500</v>
      </c>
    </row>
    <row r="21" spans="2:4">
      <c r="B21" s="11" t="s">
        <v>20</v>
      </c>
      <c r="C21" s="141">
        <v>43.32</v>
      </c>
      <c r="D21" s="142">
        <v>2660</v>
      </c>
    </row>
  </sheetData>
  <pageMargins left="0.7" right="0.7" top="0.75" bottom="0.75" header="0.3" footer="0.3"/>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92CB9-7410-43B3-8F8A-AF3272956DBA}">
  <sheetPr codeName="Sheet11"/>
  <dimension ref="A2:G16"/>
  <sheetViews>
    <sheetView workbookViewId="0">
      <selection activeCell="A2" sqref="A2:G16"/>
    </sheetView>
  </sheetViews>
  <sheetFormatPr defaultColWidth="8.6640625" defaultRowHeight="12.75"/>
  <cols>
    <col min="1" max="1" width="11.6640625" customWidth="1"/>
    <col min="2" max="4" width="14.6640625" customWidth="1"/>
    <col min="5" max="5" width="13.6640625" bestFit="1" customWidth="1"/>
    <col min="6" max="6" width="14.1328125" bestFit="1" customWidth="1"/>
    <col min="7" max="7" width="9.6640625" bestFit="1" customWidth="1"/>
    <col min="8" max="16" width="5.46484375" bestFit="1" customWidth="1"/>
    <col min="17" max="17" width="4.46484375" bestFit="1" customWidth="1"/>
    <col min="18" max="19" width="5.46484375" bestFit="1" customWidth="1"/>
    <col min="20" max="20" width="10.33203125" bestFit="1" customWidth="1"/>
  </cols>
  <sheetData>
    <row r="2" spans="1:7">
      <c r="A2" s="12" t="s">
        <v>28</v>
      </c>
      <c r="B2" s="13" t="s">
        <v>9</v>
      </c>
      <c r="C2" s="13" t="s">
        <v>33</v>
      </c>
      <c r="D2" s="13" t="s">
        <v>29</v>
      </c>
      <c r="F2" s="24" t="s">
        <v>25</v>
      </c>
      <c r="G2" s="24" t="s">
        <v>192</v>
      </c>
    </row>
    <row r="3" spans="1:7" ht="13.15">
      <c r="A3" s="14">
        <v>1</v>
      </c>
      <c r="B3" s="15" t="s">
        <v>14</v>
      </c>
      <c r="C3" s="20">
        <v>55.71</v>
      </c>
      <c r="D3" s="23" t="s">
        <v>39</v>
      </c>
      <c r="F3" s="24" t="s">
        <v>13</v>
      </c>
      <c r="G3" s="25">
        <v>74.36</v>
      </c>
    </row>
    <row r="4" spans="1:7" ht="13.15">
      <c r="A4" s="16">
        <v>2</v>
      </c>
      <c r="B4" s="17" t="s">
        <v>12</v>
      </c>
      <c r="C4" s="21">
        <v>60.07</v>
      </c>
      <c r="D4" s="23" t="s">
        <v>39</v>
      </c>
      <c r="F4" s="24" t="s">
        <v>17</v>
      </c>
      <c r="G4" s="25">
        <v>67.06</v>
      </c>
    </row>
    <row r="5" spans="1:7" ht="13.15">
      <c r="A5" s="14">
        <v>3</v>
      </c>
      <c r="B5" s="15" t="s">
        <v>13</v>
      </c>
      <c r="C5" s="20">
        <v>74.36</v>
      </c>
      <c r="D5" s="23" t="s">
        <v>39</v>
      </c>
      <c r="F5" s="24" t="s">
        <v>15</v>
      </c>
      <c r="G5" s="25">
        <v>63.6</v>
      </c>
    </row>
    <row r="6" spans="1:7" ht="13.15">
      <c r="A6" s="16">
        <v>4</v>
      </c>
      <c r="B6" s="17" t="s">
        <v>11</v>
      </c>
      <c r="C6" s="21">
        <v>54.81</v>
      </c>
      <c r="D6" s="23" t="s">
        <v>39</v>
      </c>
      <c r="F6" s="24" t="s">
        <v>18</v>
      </c>
      <c r="G6" s="25">
        <v>63.45</v>
      </c>
    </row>
    <row r="7" spans="1:7" ht="13.15">
      <c r="A7" s="14">
        <v>5</v>
      </c>
      <c r="B7" s="15" t="s">
        <v>17</v>
      </c>
      <c r="C7" s="20">
        <v>67.06</v>
      </c>
      <c r="D7" s="23" t="s">
        <v>39</v>
      </c>
      <c r="F7" s="24" t="s">
        <v>12</v>
      </c>
      <c r="G7" s="25">
        <v>60.07</v>
      </c>
    </row>
    <row r="8" spans="1:7" ht="13.15">
      <c r="A8" s="16">
        <v>6</v>
      </c>
      <c r="B8" s="17" t="s">
        <v>21</v>
      </c>
      <c r="C8" s="21">
        <v>58.25</v>
      </c>
      <c r="D8" s="23" t="s">
        <v>39</v>
      </c>
      <c r="F8" s="24" t="s">
        <v>21</v>
      </c>
      <c r="G8" s="25">
        <v>58.25</v>
      </c>
    </row>
    <row r="9" spans="1:7" ht="13.15">
      <c r="A9" s="14">
        <v>7</v>
      </c>
      <c r="B9" s="15" t="s">
        <v>18</v>
      </c>
      <c r="C9" s="20">
        <v>63.45</v>
      </c>
      <c r="D9" s="23" t="s">
        <v>39</v>
      </c>
      <c r="F9" s="24" t="s">
        <v>16</v>
      </c>
      <c r="G9" s="25">
        <v>57.81</v>
      </c>
    </row>
    <row r="10" spans="1:7" ht="13.15">
      <c r="A10" s="16">
        <v>8</v>
      </c>
      <c r="B10" s="17" t="s">
        <v>19</v>
      </c>
      <c r="C10" s="21">
        <v>56.69</v>
      </c>
      <c r="D10" s="23" t="s">
        <v>40</v>
      </c>
      <c r="F10" s="24" t="s">
        <v>23</v>
      </c>
      <c r="G10" s="25">
        <v>57.33</v>
      </c>
    </row>
    <row r="11" spans="1:7" ht="13.15">
      <c r="A11" s="14">
        <v>9</v>
      </c>
      <c r="B11" s="15" t="s">
        <v>15</v>
      </c>
      <c r="C11" s="20">
        <v>63.6</v>
      </c>
      <c r="D11" s="23" t="s">
        <v>40</v>
      </c>
      <c r="F11" s="24" t="s">
        <v>19</v>
      </c>
      <c r="G11" s="25">
        <v>56.69</v>
      </c>
    </row>
    <row r="12" spans="1:7" ht="13.15">
      <c r="A12" s="16">
        <v>10</v>
      </c>
      <c r="B12" s="17" t="s">
        <v>16</v>
      </c>
      <c r="C12" s="21">
        <v>57.81</v>
      </c>
      <c r="D12" s="23" t="s">
        <v>40</v>
      </c>
      <c r="F12" s="24" t="s">
        <v>14</v>
      </c>
      <c r="G12" s="25">
        <v>55.71</v>
      </c>
    </row>
    <row r="13" spans="1:7" ht="13.15">
      <c r="A13" s="14">
        <v>11</v>
      </c>
      <c r="B13" s="15" t="s">
        <v>22</v>
      </c>
      <c r="C13" s="20">
        <v>48.04</v>
      </c>
      <c r="D13" s="23" t="s">
        <v>40</v>
      </c>
      <c r="F13" s="24" t="s">
        <v>11</v>
      </c>
      <c r="G13" s="25">
        <v>54.81</v>
      </c>
    </row>
    <row r="14" spans="1:7" ht="13.15">
      <c r="A14" s="16">
        <v>12</v>
      </c>
      <c r="B14" s="17" t="s">
        <v>20</v>
      </c>
      <c r="C14" s="21">
        <v>42.92</v>
      </c>
      <c r="D14" s="23" t="s">
        <v>40</v>
      </c>
      <c r="F14" s="24" t="s">
        <v>22</v>
      </c>
      <c r="G14" s="25">
        <v>48.04</v>
      </c>
    </row>
    <row r="15" spans="1:7" ht="13.15">
      <c r="A15" s="14">
        <v>13</v>
      </c>
      <c r="B15" s="15" t="s">
        <v>24</v>
      </c>
      <c r="C15" s="20">
        <v>47.42</v>
      </c>
      <c r="D15" s="23" t="s">
        <v>40</v>
      </c>
      <c r="F15" s="24" t="s">
        <v>24</v>
      </c>
      <c r="G15" s="25">
        <v>47.42</v>
      </c>
    </row>
    <row r="16" spans="1:7" ht="13.15">
      <c r="A16" s="18">
        <v>14</v>
      </c>
      <c r="B16" s="19" t="s">
        <v>23</v>
      </c>
      <c r="C16" s="22">
        <v>57.33</v>
      </c>
      <c r="D16" s="23" t="s">
        <v>40</v>
      </c>
      <c r="F16" s="24" t="s">
        <v>20</v>
      </c>
      <c r="G16" s="25">
        <v>42.92</v>
      </c>
    </row>
  </sheetData>
  <sortState xmlns:xlrd2="http://schemas.microsoft.com/office/spreadsheetml/2017/richdata2" ref="F3:G16">
    <sortCondition descending="1" ref="G3:G16"/>
  </sortState>
  <dataValidations disablePrompts="1" count="2">
    <dataValidation allowBlank="1" showDropDown="1" sqref="B3:B16" xr:uid="{592D6009-D82E-45E7-B476-7A270DB015B2}"/>
    <dataValidation type="custom" allowBlank="1" showDropDown="1" sqref="A3:A16" xr:uid="{ACC4B134-3E56-42DB-9177-39BFAED02F40}">
      <formula1>AND(ISNUMBER(A3),(NOT(OR(NOT(ISERROR(DATEVALUE(A3))), AND(ISNUMBER(A3), LEFT(CELL("format", A3))="D")))))</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d41b718-1e01-42b1-b572-868e8a21329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64EC6F74999E247ABD273F0CAA7F29A" ma:contentTypeVersion="10" ma:contentTypeDescription="Create a new document." ma:contentTypeScope="" ma:versionID="6246e247f44bf8fd5d6aa49006e161cd">
  <xsd:schema xmlns:xsd="http://www.w3.org/2001/XMLSchema" xmlns:xs="http://www.w3.org/2001/XMLSchema" xmlns:p="http://schemas.microsoft.com/office/2006/metadata/properties" xmlns:ns3="bd41b718-1e01-42b1-b572-868e8a21329c" targetNamespace="http://schemas.microsoft.com/office/2006/metadata/properties" ma:root="true" ma:fieldsID="28e5bb9aa3791544ba9b21d8d6395658" ns3:_="">
    <xsd:import namespace="bd41b718-1e01-42b1-b572-868e8a21329c"/>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41b718-1e01-42b1-b572-868e8a21329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54BEDAF-18CE-4E9B-9012-93ECB18BB82A}">
  <ds:schemaRefs>
    <ds:schemaRef ds:uri="http://schemas.microsoft.com/office/2006/metadata/properties"/>
    <ds:schemaRef ds:uri="http://schemas.microsoft.com/office/infopath/2007/PartnerControls"/>
    <ds:schemaRef ds:uri="bd41b718-1e01-42b1-b572-868e8a21329c"/>
  </ds:schemaRefs>
</ds:datastoreItem>
</file>

<file path=customXml/itemProps2.xml><?xml version="1.0" encoding="utf-8"?>
<ds:datastoreItem xmlns:ds="http://schemas.openxmlformats.org/officeDocument/2006/customXml" ds:itemID="{F1CCB228-30BB-408B-BBC2-4C6CC0D024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41b718-1e01-42b1-b572-868e8a2132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764A68-7B0E-4F82-9955-F40EEE8F60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Master Data Sheet</vt:lpstr>
      <vt:lpstr>Healthcare rank</vt:lpstr>
      <vt:lpstr>Safety Ranking</vt:lpstr>
      <vt:lpstr>Average housing</vt:lpstr>
      <vt:lpstr>Crime Rate</vt:lpstr>
      <vt:lpstr>cost-of-living-index-by-state-2</vt:lpstr>
      <vt:lpstr>Education</vt:lpstr>
      <vt:lpstr>Weather Statistics</vt:lpstr>
      <vt:lpstr>Crime Rate Vs Safety Index</vt:lpstr>
      <vt:lpstr>Education Chart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VISHNUPRIYA ANAND NAIR</dc:creator>
  <cp:keywords/>
  <dc:description/>
  <cp:lastModifiedBy>Henry Le</cp:lastModifiedBy>
  <cp:revision/>
  <dcterms:created xsi:type="dcterms:W3CDTF">2025-05-03T00:29:46Z</dcterms:created>
  <dcterms:modified xsi:type="dcterms:W3CDTF">2025-05-08T15:00:32Z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0x010100164EC6F74999E247ABD273F0CAA7F29A</vt:lpwstr>
  </property>
</Properties>
</file>